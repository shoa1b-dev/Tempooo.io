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<sst xmlns="http://schemas.openxmlformats.org/spreadsheetml/2006/main" count="58" uniqueCount="26">
  <si>
    <t>STATE LFIE INSURANCE CORPORATION OF PAKISTAN</t>
  </si>
  <si>
    <t>GROUP &amp; PENSION - KARACHI ZONE</t>
  </si>
  <si>
    <t>STATEMENT OF PREMIUM POSITION AS AT 31 12 2025</t>
  </si>
  <si>
    <t>PREMIUM COLLECTION FOR 2025</t>
  </si>
  <si>
    <t>FYP AND RENEWAL PREMIUM</t>
  </si>
  <si>
    <t>EMIGRANT PREMIUM</t>
  </si>
  <si>
    <t>TOTAL PREMIUM</t>
  </si>
  <si>
    <t>TOTAL COLLECTION</t>
  </si>
  <si>
    <t>ADD:</t>
  </si>
  <si>
    <t>Sub Total (A)</t>
  </si>
  <si>
    <t>FYP</t>
  </si>
  <si>
    <t>RENEWAL PREMIUM</t>
  </si>
  <si>
    <t>ADVANCE PREMIUM 2024</t>
  </si>
  <si>
    <t>UN-EARNED PREMIUM 2024</t>
  </si>
  <si>
    <t>OUTSTANDING PREMIUM 2025</t>
  </si>
  <si>
    <t>Sub Total (B)</t>
  </si>
  <si>
    <t>ADVANCE PREMIUM 2025</t>
  </si>
  <si>
    <t>UN-EARNED PREMIUM 2025</t>
  </si>
  <si>
    <t>OUTSTANDING PREMIUM 2024</t>
  </si>
  <si>
    <t>LESS:</t>
  </si>
  <si>
    <t>Sub Total (C)</t>
  </si>
  <si>
    <t>GRAND TOTAL (A+B-C)</t>
  </si>
  <si>
    <t>683AB</t>
  </si>
  <si>
    <t>684AB</t>
  </si>
  <si>
    <t>684HP</t>
  </si>
  <si>
    <t>G.TOTAL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</si>
</sst>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color theme="1"/>
      <name val="Calibri"/>
      <charset val="134"/>
      <scheme val="minor"/>
    </font>
    <font>
      <sz val="12"/>
      <name val="Arial"/>
      <charset val="134"/>
    </font>
    <font>
      <b/>
      <sz val="12"/>
      <name val="Arial"/>
      <charset val="134"/>
    </font>
    <font>
      <b/>
      <u/>
      <sz val="12"/>
      <name val="Arial"/>
      <charset val="134"/>
    </font>
    <font>
      <u/>
      <sz val="12"/>
      <name val="Arial"/>
      <charset val="134"/>
    </font>
    <font>
      <b/>
      <sz val="12"/>
      <color rgb="FFFF0000"/>
      <name val="Arial"/>
      <charset val="134"/>
    </font>
    <font>
      <sz val="14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3" fontId="1" fillId="0" borderId="1" xfId="1" applyNumberFormat="1" applyFont="1" applyBorder="1" applyAlignment="1">
      <alignment horizontal="right"/>
    </xf>
    <xf numFmtId="177" fontId="1" fillId="0" borderId="1" xfId="1" applyNumberFormat="1" applyFont="1" applyBorder="1"/>
    <xf numFmtId="3" fontId="1" fillId="0" borderId="1" xfId="1" applyNumberFormat="1" applyFont="1" applyBorder="1"/>
    <xf numFmtId="3" fontId="1" fillId="0" borderId="0" xfId="0" applyNumberFormat="1" applyFont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/>
    <xf numFmtId="177" fontId="2" fillId="0" borderId="1" xfId="1" applyNumberFormat="1" applyFont="1" applyBorder="1"/>
    <xf numFmtId="177" fontId="2" fillId="0" borderId="1" xfId="1" applyNumberFormat="1" applyFont="1" applyBorder="1" applyAlignment="1">
      <alignment horizontal="center"/>
    </xf>
    <xf numFmtId="177" fontId="1" fillId="0" borderId="0" xfId="1" applyNumberFormat="1" applyFont="1" applyFill="1" applyBorder="1"/>
    <xf numFmtId="177" fontId="1" fillId="0" borderId="1" xfId="0" applyNumberFormat="1" applyFont="1" applyBorder="1"/>
    <xf numFmtId="177" fontId="1" fillId="0" borderId="1" xfId="1" applyNumberFormat="1" applyFont="1" applyFill="1" applyBorder="1"/>
    <xf numFmtId="0" fontId="4" fillId="0" borderId="1" xfId="0" applyFont="1" applyBorder="1" applyAlignment="1">
      <alignment horizontal="left"/>
    </xf>
    <xf numFmtId="3" fontId="1" fillId="0" borderId="0" xfId="1" applyNumberFormat="1" applyFont="1"/>
    <xf numFmtId="0" fontId="5" fillId="0" borderId="0" xfId="0" applyFont="1" applyAlignment="1">
      <alignment horizontal="center"/>
    </xf>
    <xf numFmtId="3" fontId="1" fillId="0" borderId="1" xfId="1" applyNumberFormat="1" applyFont="1" applyFill="1" applyBorder="1"/>
    <xf numFmtId="3" fontId="2" fillId="0" borderId="1" xfId="1" applyNumberFormat="1" applyFont="1" applyBorder="1" applyAlignment="1"/>
    <xf numFmtId="177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177" fontId="1" fillId="0" borderId="0" xfId="1" applyNumberFormat="1" applyFont="1" applyBorder="1"/>
    <xf numFmtId="0" fontId="1" fillId="0" borderId="0" xfId="0" applyFont="1" applyAlignment="1">
      <alignment horizontal="center"/>
    </xf>
    <xf numFmtId="177" fontId="1" fillId="0" borderId="0" xfId="1" applyNumberFormat="1" applyFont="1"/>
    <xf numFmtId="177" fontId="1" fillId="0" borderId="0" xfId="0" applyNumberFormat="1" applyFont="1"/>
    <xf numFmtId="177" fontId="2" fillId="0" borderId="0" xfId="1" applyNumberFormat="1" applyFont="1"/>
    <xf numFmtId="177" fontId="2" fillId="0" borderId="0" xfId="0" applyNumberFormat="1" applyFont="1"/>
    <xf numFmtId="0" fontId="2" fillId="0" borderId="0" xfId="0" applyFont="1" applyAlignment="1">
      <alignment horizontal="left"/>
    </xf>
    <xf numFmtId="177" fontId="2" fillId="0" borderId="0" xfId="1" applyNumberFormat="1" applyFont="1" applyBorder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177" fontId="6" fillId="0" borderId="0" xfId="0" applyNumberFormat="1" applyFont="1"/>
    <xf numFmtId="177" fontId="6" fillId="0" borderId="0" xfId="1" applyNumberFormat="1" applyFont="1" applyBorder="1"/>
    <xf numFmtId="177" fontId="0" fillId="0" borderId="0" xfId="0" applyNumberFormat="1"/>
    <xf numFmtId="0" fontId="1" fillId="0" borderId="1" xfId="0" applyFont="1" applyBorder="1" applyAlignment="1" quotePrefix="1">
      <alignment horizontal="left"/>
    </xf>
    <xf numFmtId="0" fontId="2" fillId="0" borderId="1" xfId="0" applyFont="1" applyBorder="1" applyAlignment="1" quotePrefix="1">
      <alignment horizontal="center"/>
    </xf>
    <xf numFmtId="0" fontId="2" fillId="0" borderId="1" xfId="0" applyFont="1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opLeftCell="A2" workbookViewId="0">
      <selection activeCell="A2" sqref="$A1:$XFD1048576"/>
    </sheetView>
  </sheetViews>
  <sheetFormatPr defaultColWidth="9" defaultRowHeight="15"/>
  <cols>
    <col min="1" max="1" width="8.28571428571429" style="1" customWidth="1"/>
    <col min="2" max="2" width="47.4285714285714" style="1" customWidth="1"/>
    <col min="3" max="3" width="17.5714285714286" style="1" customWidth="1"/>
    <col min="4" max="4" width="25.4285714285714" style="1" customWidth="1"/>
    <col min="5" max="5" width="25.2857142857143" style="1" customWidth="1"/>
    <col min="6" max="6" width="22.1428571428571" style="1" customWidth="1"/>
    <col min="7" max="8" width="9.14285714285714" style="1"/>
    <col min="9" max="9" width="43.2857142857143" style="1" customWidth="1"/>
    <col min="10" max="10" width="21.1428571428571" style="1" customWidth="1"/>
    <col min="11" max="256" width="9.14285714285714" style="1"/>
    <col min="257" max="257" width="8.28571428571429" style="1" customWidth="1"/>
    <col min="258" max="258" width="47.4285714285714" style="1" customWidth="1"/>
    <col min="259" max="259" width="17.5714285714286" style="1" customWidth="1"/>
    <col min="260" max="260" width="25.4285714285714" style="1" customWidth="1"/>
    <col min="261" max="261" width="25.2857142857143" style="1" customWidth="1"/>
    <col min="262" max="262" width="22.1428571428571" style="1" customWidth="1"/>
    <col min="263" max="264" width="9.14285714285714" style="1"/>
    <col min="265" max="265" width="43.2857142857143" style="1" customWidth="1"/>
    <col min="266" max="266" width="21.1428571428571" style="1" customWidth="1"/>
    <col min="267" max="512" width="9.14285714285714" style="1"/>
    <col min="513" max="513" width="8.28571428571429" style="1" customWidth="1"/>
    <col min="514" max="514" width="47.4285714285714" style="1" customWidth="1"/>
    <col min="515" max="515" width="17.5714285714286" style="1" customWidth="1"/>
    <col min="516" max="516" width="25.4285714285714" style="1" customWidth="1"/>
    <col min="517" max="517" width="25.2857142857143" style="1" customWidth="1"/>
    <col min="518" max="518" width="22.1428571428571" style="1" customWidth="1"/>
    <col min="519" max="520" width="9.14285714285714" style="1"/>
    <col min="521" max="521" width="43.2857142857143" style="1" customWidth="1"/>
    <col min="522" max="522" width="21.1428571428571" style="1" customWidth="1"/>
    <col min="523" max="768" width="9.14285714285714" style="1"/>
    <col min="769" max="769" width="8.28571428571429" style="1" customWidth="1"/>
    <col min="770" max="770" width="47.4285714285714" style="1" customWidth="1"/>
    <col min="771" max="771" width="17.5714285714286" style="1" customWidth="1"/>
    <col min="772" max="772" width="25.4285714285714" style="1" customWidth="1"/>
    <col min="773" max="773" width="25.2857142857143" style="1" customWidth="1"/>
    <col min="774" max="774" width="22.1428571428571" style="1" customWidth="1"/>
    <col min="775" max="776" width="9.14285714285714" style="1"/>
    <col min="777" max="777" width="43.2857142857143" style="1" customWidth="1"/>
    <col min="778" max="778" width="21.1428571428571" style="1" customWidth="1"/>
    <col min="779" max="1024" width="9.14285714285714" style="1"/>
    <col min="1025" max="1025" width="8.28571428571429" style="1" customWidth="1"/>
    <col min="1026" max="1026" width="47.4285714285714" style="1" customWidth="1"/>
    <col min="1027" max="1027" width="17.5714285714286" style="1" customWidth="1"/>
    <col min="1028" max="1028" width="25.4285714285714" style="1" customWidth="1"/>
    <col min="1029" max="1029" width="25.2857142857143" style="1" customWidth="1"/>
    <col min="1030" max="1030" width="22.1428571428571" style="1" customWidth="1"/>
    <col min="1031" max="1032" width="9.14285714285714" style="1"/>
    <col min="1033" max="1033" width="43.2857142857143" style="1" customWidth="1"/>
    <col min="1034" max="1034" width="21.1428571428571" style="1" customWidth="1"/>
    <col min="1035" max="1280" width="9.14285714285714" style="1"/>
    <col min="1281" max="1281" width="8.28571428571429" style="1" customWidth="1"/>
    <col min="1282" max="1282" width="47.4285714285714" style="1" customWidth="1"/>
    <col min="1283" max="1283" width="17.5714285714286" style="1" customWidth="1"/>
    <col min="1284" max="1284" width="25.4285714285714" style="1" customWidth="1"/>
    <col min="1285" max="1285" width="25.2857142857143" style="1" customWidth="1"/>
    <col min="1286" max="1286" width="22.1428571428571" style="1" customWidth="1"/>
    <col min="1287" max="1288" width="9.14285714285714" style="1"/>
    <col min="1289" max="1289" width="43.2857142857143" style="1" customWidth="1"/>
    <col min="1290" max="1290" width="21.1428571428571" style="1" customWidth="1"/>
    <col min="1291" max="1536" width="9.14285714285714" style="1"/>
    <col min="1537" max="1537" width="8.28571428571429" style="1" customWidth="1"/>
    <col min="1538" max="1538" width="47.4285714285714" style="1" customWidth="1"/>
    <col min="1539" max="1539" width="17.5714285714286" style="1" customWidth="1"/>
    <col min="1540" max="1540" width="25.4285714285714" style="1" customWidth="1"/>
    <col min="1541" max="1541" width="25.2857142857143" style="1" customWidth="1"/>
    <col min="1542" max="1542" width="22.1428571428571" style="1" customWidth="1"/>
    <col min="1543" max="1544" width="9.14285714285714" style="1"/>
    <col min="1545" max="1545" width="43.2857142857143" style="1" customWidth="1"/>
    <col min="1546" max="1546" width="21.1428571428571" style="1" customWidth="1"/>
    <col min="1547" max="1792" width="9.14285714285714" style="1"/>
    <col min="1793" max="1793" width="8.28571428571429" style="1" customWidth="1"/>
    <col min="1794" max="1794" width="47.4285714285714" style="1" customWidth="1"/>
    <col min="1795" max="1795" width="17.5714285714286" style="1" customWidth="1"/>
    <col min="1796" max="1796" width="25.4285714285714" style="1" customWidth="1"/>
    <col min="1797" max="1797" width="25.2857142857143" style="1" customWidth="1"/>
    <col min="1798" max="1798" width="22.1428571428571" style="1" customWidth="1"/>
    <col min="1799" max="1800" width="9.14285714285714" style="1"/>
    <col min="1801" max="1801" width="43.2857142857143" style="1" customWidth="1"/>
    <col min="1802" max="1802" width="21.1428571428571" style="1" customWidth="1"/>
    <col min="1803" max="2048" width="9.14285714285714" style="1"/>
    <col min="2049" max="2049" width="8.28571428571429" style="1" customWidth="1"/>
    <col min="2050" max="2050" width="47.4285714285714" style="1" customWidth="1"/>
    <col min="2051" max="2051" width="17.5714285714286" style="1" customWidth="1"/>
    <col min="2052" max="2052" width="25.4285714285714" style="1" customWidth="1"/>
    <col min="2053" max="2053" width="25.2857142857143" style="1" customWidth="1"/>
    <col min="2054" max="2054" width="22.1428571428571" style="1" customWidth="1"/>
    <col min="2055" max="2056" width="9.14285714285714" style="1"/>
    <col min="2057" max="2057" width="43.2857142857143" style="1" customWidth="1"/>
    <col min="2058" max="2058" width="21.1428571428571" style="1" customWidth="1"/>
    <col min="2059" max="2304" width="9.14285714285714" style="1"/>
    <col min="2305" max="2305" width="8.28571428571429" style="1" customWidth="1"/>
    <col min="2306" max="2306" width="47.4285714285714" style="1" customWidth="1"/>
    <col min="2307" max="2307" width="17.5714285714286" style="1" customWidth="1"/>
    <col min="2308" max="2308" width="25.4285714285714" style="1" customWidth="1"/>
    <col min="2309" max="2309" width="25.2857142857143" style="1" customWidth="1"/>
    <col min="2310" max="2310" width="22.1428571428571" style="1" customWidth="1"/>
    <col min="2311" max="2312" width="9.14285714285714" style="1"/>
    <col min="2313" max="2313" width="43.2857142857143" style="1" customWidth="1"/>
    <col min="2314" max="2314" width="21.1428571428571" style="1" customWidth="1"/>
    <col min="2315" max="2560" width="9.14285714285714" style="1"/>
    <col min="2561" max="2561" width="8.28571428571429" style="1" customWidth="1"/>
    <col min="2562" max="2562" width="47.4285714285714" style="1" customWidth="1"/>
    <col min="2563" max="2563" width="17.5714285714286" style="1" customWidth="1"/>
    <col min="2564" max="2564" width="25.4285714285714" style="1" customWidth="1"/>
    <col min="2565" max="2565" width="25.2857142857143" style="1" customWidth="1"/>
    <col min="2566" max="2566" width="22.1428571428571" style="1" customWidth="1"/>
    <col min="2567" max="2568" width="9.14285714285714" style="1"/>
    <col min="2569" max="2569" width="43.2857142857143" style="1" customWidth="1"/>
    <col min="2570" max="2570" width="21.1428571428571" style="1" customWidth="1"/>
    <col min="2571" max="2816" width="9.14285714285714" style="1"/>
    <col min="2817" max="2817" width="8.28571428571429" style="1" customWidth="1"/>
    <col min="2818" max="2818" width="47.4285714285714" style="1" customWidth="1"/>
    <col min="2819" max="2819" width="17.5714285714286" style="1" customWidth="1"/>
    <col min="2820" max="2820" width="25.4285714285714" style="1" customWidth="1"/>
    <col min="2821" max="2821" width="25.2857142857143" style="1" customWidth="1"/>
    <col min="2822" max="2822" width="22.1428571428571" style="1" customWidth="1"/>
    <col min="2823" max="2824" width="9.14285714285714" style="1"/>
    <col min="2825" max="2825" width="43.2857142857143" style="1" customWidth="1"/>
    <col min="2826" max="2826" width="21.1428571428571" style="1" customWidth="1"/>
    <col min="2827" max="3072" width="9.14285714285714" style="1"/>
    <col min="3073" max="3073" width="8.28571428571429" style="1" customWidth="1"/>
    <col min="3074" max="3074" width="47.4285714285714" style="1" customWidth="1"/>
    <col min="3075" max="3075" width="17.5714285714286" style="1" customWidth="1"/>
    <col min="3076" max="3076" width="25.4285714285714" style="1" customWidth="1"/>
    <col min="3077" max="3077" width="25.2857142857143" style="1" customWidth="1"/>
    <col min="3078" max="3078" width="22.1428571428571" style="1" customWidth="1"/>
    <col min="3079" max="3080" width="9.14285714285714" style="1"/>
    <col min="3081" max="3081" width="43.2857142857143" style="1" customWidth="1"/>
    <col min="3082" max="3082" width="21.1428571428571" style="1" customWidth="1"/>
    <col min="3083" max="3328" width="9.14285714285714" style="1"/>
    <col min="3329" max="3329" width="8.28571428571429" style="1" customWidth="1"/>
    <col min="3330" max="3330" width="47.4285714285714" style="1" customWidth="1"/>
    <col min="3331" max="3331" width="17.5714285714286" style="1" customWidth="1"/>
    <col min="3332" max="3332" width="25.4285714285714" style="1" customWidth="1"/>
    <col min="3333" max="3333" width="25.2857142857143" style="1" customWidth="1"/>
    <col min="3334" max="3334" width="22.1428571428571" style="1" customWidth="1"/>
    <col min="3335" max="3336" width="9.14285714285714" style="1"/>
    <col min="3337" max="3337" width="43.2857142857143" style="1" customWidth="1"/>
    <col min="3338" max="3338" width="21.1428571428571" style="1" customWidth="1"/>
    <col min="3339" max="3584" width="9.14285714285714" style="1"/>
    <col min="3585" max="3585" width="8.28571428571429" style="1" customWidth="1"/>
    <col min="3586" max="3586" width="47.4285714285714" style="1" customWidth="1"/>
    <col min="3587" max="3587" width="17.5714285714286" style="1" customWidth="1"/>
    <col min="3588" max="3588" width="25.4285714285714" style="1" customWidth="1"/>
    <col min="3589" max="3589" width="25.2857142857143" style="1" customWidth="1"/>
    <col min="3590" max="3590" width="22.1428571428571" style="1" customWidth="1"/>
    <col min="3591" max="3592" width="9.14285714285714" style="1"/>
    <col min="3593" max="3593" width="43.2857142857143" style="1" customWidth="1"/>
    <col min="3594" max="3594" width="21.1428571428571" style="1" customWidth="1"/>
    <col min="3595" max="3840" width="9.14285714285714" style="1"/>
    <col min="3841" max="3841" width="8.28571428571429" style="1" customWidth="1"/>
    <col min="3842" max="3842" width="47.4285714285714" style="1" customWidth="1"/>
    <col min="3843" max="3843" width="17.5714285714286" style="1" customWidth="1"/>
    <col min="3844" max="3844" width="25.4285714285714" style="1" customWidth="1"/>
    <col min="3845" max="3845" width="25.2857142857143" style="1" customWidth="1"/>
    <col min="3846" max="3846" width="22.1428571428571" style="1" customWidth="1"/>
    <col min="3847" max="3848" width="9.14285714285714" style="1"/>
    <col min="3849" max="3849" width="43.2857142857143" style="1" customWidth="1"/>
    <col min="3850" max="3850" width="21.1428571428571" style="1" customWidth="1"/>
    <col min="3851" max="4096" width="9.14285714285714" style="1"/>
    <col min="4097" max="4097" width="8.28571428571429" style="1" customWidth="1"/>
    <col min="4098" max="4098" width="47.4285714285714" style="1" customWidth="1"/>
    <col min="4099" max="4099" width="17.5714285714286" style="1" customWidth="1"/>
    <col min="4100" max="4100" width="25.4285714285714" style="1" customWidth="1"/>
    <col min="4101" max="4101" width="25.2857142857143" style="1" customWidth="1"/>
    <col min="4102" max="4102" width="22.1428571428571" style="1" customWidth="1"/>
    <col min="4103" max="4104" width="9.14285714285714" style="1"/>
    <col min="4105" max="4105" width="43.2857142857143" style="1" customWidth="1"/>
    <col min="4106" max="4106" width="21.1428571428571" style="1" customWidth="1"/>
    <col min="4107" max="4352" width="9.14285714285714" style="1"/>
    <col min="4353" max="4353" width="8.28571428571429" style="1" customWidth="1"/>
    <col min="4354" max="4354" width="47.4285714285714" style="1" customWidth="1"/>
    <col min="4355" max="4355" width="17.5714285714286" style="1" customWidth="1"/>
    <col min="4356" max="4356" width="25.4285714285714" style="1" customWidth="1"/>
    <col min="4357" max="4357" width="25.2857142857143" style="1" customWidth="1"/>
    <col min="4358" max="4358" width="22.1428571428571" style="1" customWidth="1"/>
    <col min="4359" max="4360" width="9.14285714285714" style="1"/>
    <col min="4361" max="4361" width="43.2857142857143" style="1" customWidth="1"/>
    <col min="4362" max="4362" width="21.1428571428571" style="1" customWidth="1"/>
    <col min="4363" max="4608" width="9.14285714285714" style="1"/>
    <col min="4609" max="4609" width="8.28571428571429" style="1" customWidth="1"/>
    <col min="4610" max="4610" width="47.4285714285714" style="1" customWidth="1"/>
    <col min="4611" max="4611" width="17.5714285714286" style="1" customWidth="1"/>
    <col min="4612" max="4612" width="25.4285714285714" style="1" customWidth="1"/>
    <col min="4613" max="4613" width="25.2857142857143" style="1" customWidth="1"/>
    <col min="4614" max="4614" width="22.1428571428571" style="1" customWidth="1"/>
    <col min="4615" max="4616" width="9.14285714285714" style="1"/>
    <col min="4617" max="4617" width="43.2857142857143" style="1" customWidth="1"/>
    <col min="4618" max="4618" width="21.1428571428571" style="1" customWidth="1"/>
    <col min="4619" max="4864" width="9.14285714285714" style="1"/>
    <col min="4865" max="4865" width="8.28571428571429" style="1" customWidth="1"/>
    <col min="4866" max="4866" width="47.4285714285714" style="1" customWidth="1"/>
    <col min="4867" max="4867" width="17.5714285714286" style="1" customWidth="1"/>
    <col min="4868" max="4868" width="25.4285714285714" style="1" customWidth="1"/>
    <col min="4869" max="4869" width="25.2857142857143" style="1" customWidth="1"/>
    <col min="4870" max="4870" width="22.1428571428571" style="1" customWidth="1"/>
    <col min="4871" max="4872" width="9.14285714285714" style="1"/>
    <col min="4873" max="4873" width="43.2857142857143" style="1" customWidth="1"/>
    <col min="4874" max="4874" width="21.1428571428571" style="1" customWidth="1"/>
    <col min="4875" max="5120" width="9.14285714285714" style="1"/>
    <col min="5121" max="5121" width="8.28571428571429" style="1" customWidth="1"/>
    <col min="5122" max="5122" width="47.4285714285714" style="1" customWidth="1"/>
    <col min="5123" max="5123" width="17.5714285714286" style="1" customWidth="1"/>
    <col min="5124" max="5124" width="25.4285714285714" style="1" customWidth="1"/>
    <col min="5125" max="5125" width="25.2857142857143" style="1" customWidth="1"/>
    <col min="5126" max="5126" width="22.1428571428571" style="1" customWidth="1"/>
    <col min="5127" max="5128" width="9.14285714285714" style="1"/>
    <col min="5129" max="5129" width="43.2857142857143" style="1" customWidth="1"/>
    <col min="5130" max="5130" width="21.1428571428571" style="1" customWidth="1"/>
    <col min="5131" max="5376" width="9.14285714285714" style="1"/>
    <col min="5377" max="5377" width="8.28571428571429" style="1" customWidth="1"/>
    <col min="5378" max="5378" width="47.4285714285714" style="1" customWidth="1"/>
    <col min="5379" max="5379" width="17.5714285714286" style="1" customWidth="1"/>
    <col min="5380" max="5380" width="25.4285714285714" style="1" customWidth="1"/>
    <col min="5381" max="5381" width="25.2857142857143" style="1" customWidth="1"/>
    <col min="5382" max="5382" width="22.1428571428571" style="1" customWidth="1"/>
    <col min="5383" max="5384" width="9.14285714285714" style="1"/>
    <col min="5385" max="5385" width="43.2857142857143" style="1" customWidth="1"/>
    <col min="5386" max="5386" width="21.1428571428571" style="1" customWidth="1"/>
    <col min="5387" max="5632" width="9.14285714285714" style="1"/>
    <col min="5633" max="5633" width="8.28571428571429" style="1" customWidth="1"/>
    <col min="5634" max="5634" width="47.4285714285714" style="1" customWidth="1"/>
    <col min="5635" max="5635" width="17.5714285714286" style="1" customWidth="1"/>
    <col min="5636" max="5636" width="25.4285714285714" style="1" customWidth="1"/>
    <col min="5637" max="5637" width="25.2857142857143" style="1" customWidth="1"/>
    <col min="5638" max="5638" width="22.1428571428571" style="1" customWidth="1"/>
    <col min="5639" max="5640" width="9.14285714285714" style="1"/>
    <col min="5641" max="5641" width="43.2857142857143" style="1" customWidth="1"/>
    <col min="5642" max="5642" width="21.1428571428571" style="1" customWidth="1"/>
    <col min="5643" max="5888" width="9.14285714285714" style="1"/>
    <col min="5889" max="5889" width="8.28571428571429" style="1" customWidth="1"/>
    <col min="5890" max="5890" width="47.4285714285714" style="1" customWidth="1"/>
    <col min="5891" max="5891" width="17.5714285714286" style="1" customWidth="1"/>
    <col min="5892" max="5892" width="25.4285714285714" style="1" customWidth="1"/>
    <col min="5893" max="5893" width="25.2857142857143" style="1" customWidth="1"/>
    <col min="5894" max="5894" width="22.1428571428571" style="1" customWidth="1"/>
    <col min="5895" max="5896" width="9.14285714285714" style="1"/>
    <col min="5897" max="5897" width="43.2857142857143" style="1" customWidth="1"/>
    <col min="5898" max="5898" width="21.1428571428571" style="1" customWidth="1"/>
    <col min="5899" max="6144" width="9.14285714285714" style="1"/>
    <col min="6145" max="6145" width="8.28571428571429" style="1" customWidth="1"/>
    <col min="6146" max="6146" width="47.4285714285714" style="1" customWidth="1"/>
    <col min="6147" max="6147" width="17.5714285714286" style="1" customWidth="1"/>
    <col min="6148" max="6148" width="25.4285714285714" style="1" customWidth="1"/>
    <col min="6149" max="6149" width="25.2857142857143" style="1" customWidth="1"/>
    <col min="6150" max="6150" width="22.1428571428571" style="1" customWidth="1"/>
    <col min="6151" max="6152" width="9.14285714285714" style="1"/>
    <col min="6153" max="6153" width="43.2857142857143" style="1" customWidth="1"/>
    <col min="6154" max="6154" width="21.1428571428571" style="1" customWidth="1"/>
    <col min="6155" max="6400" width="9.14285714285714" style="1"/>
    <col min="6401" max="6401" width="8.28571428571429" style="1" customWidth="1"/>
    <col min="6402" max="6402" width="47.4285714285714" style="1" customWidth="1"/>
    <col min="6403" max="6403" width="17.5714285714286" style="1" customWidth="1"/>
    <col min="6404" max="6404" width="25.4285714285714" style="1" customWidth="1"/>
    <col min="6405" max="6405" width="25.2857142857143" style="1" customWidth="1"/>
    <col min="6406" max="6406" width="22.1428571428571" style="1" customWidth="1"/>
    <col min="6407" max="6408" width="9.14285714285714" style="1"/>
    <col min="6409" max="6409" width="43.2857142857143" style="1" customWidth="1"/>
    <col min="6410" max="6410" width="21.1428571428571" style="1" customWidth="1"/>
    <col min="6411" max="6656" width="9.14285714285714" style="1"/>
    <col min="6657" max="6657" width="8.28571428571429" style="1" customWidth="1"/>
    <col min="6658" max="6658" width="47.4285714285714" style="1" customWidth="1"/>
    <col min="6659" max="6659" width="17.5714285714286" style="1" customWidth="1"/>
    <col min="6660" max="6660" width="25.4285714285714" style="1" customWidth="1"/>
    <col min="6661" max="6661" width="25.2857142857143" style="1" customWidth="1"/>
    <col min="6662" max="6662" width="22.1428571428571" style="1" customWidth="1"/>
    <col min="6663" max="6664" width="9.14285714285714" style="1"/>
    <col min="6665" max="6665" width="43.2857142857143" style="1" customWidth="1"/>
    <col min="6666" max="6666" width="21.1428571428571" style="1" customWidth="1"/>
    <col min="6667" max="6912" width="9.14285714285714" style="1"/>
    <col min="6913" max="6913" width="8.28571428571429" style="1" customWidth="1"/>
    <col min="6914" max="6914" width="47.4285714285714" style="1" customWidth="1"/>
    <col min="6915" max="6915" width="17.5714285714286" style="1" customWidth="1"/>
    <col min="6916" max="6916" width="25.4285714285714" style="1" customWidth="1"/>
    <col min="6917" max="6917" width="25.2857142857143" style="1" customWidth="1"/>
    <col min="6918" max="6918" width="22.1428571428571" style="1" customWidth="1"/>
    <col min="6919" max="6920" width="9.14285714285714" style="1"/>
    <col min="6921" max="6921" width="43.2857142857143" style="1" customWidth="1"/>
    <col min="6922" max="6922" width="21.1428571428571" style="1" customWidth="1"/>
    <col min="6923" max="7168" width="9.14285714285714" style="1"/>
    <col min="7169" max="7169" width="8.28571428571429" style="1" customWidth="1"/>
    <col min="7170" max="7170" width="47.4285714285714" style="1" customWidth="1"/>
    <col min="7171" max="7171" width="17.5714285714286" style="1" customWidth="1"/>
    <col min="7172" max="7172" width="25.4285714285714" style="1" customWidth="1"/>
    <col min="7173" max="7173" width="25.2857142857143" style="1" customWidth="1"/>
    <col min="7174" max="7174" width="22.1428571428571" style="1" customWidth="1"/>
    <col min="7175" max="7176" width="9.14285714285714" style="1"/>
    <col min="7177" max="7177" width="43.2857142857143" style="1" customWidth="1"/>
    <col min="7178" max="7178" width="21.1428571428571" style="1" customWidth="1"/>
    <col min="7179" max="7424" width="9.14285714285714" style="1"/>
    <col min="7425" max="7425" width="8.28571428571429" style="1" customWidth="1"/>
    <col min="7426" max="7426" width="47.4285714285714" style="1" customWidth="1"/>
    <col min="7427" max="7427" width="17.5714285714286" style="1" customWidth="1"/>
    <col min="7428" max="7428" width="25.4285714285714" style="1" customWidth="1"/>
    <col min="7429" max="7429" width="25.2857142857143" style="1" customWidth="1"/>
    <col min="7430" max="7430" width="22.1428571428571" style="1" customWidth="1"/>
    <col min="7431" max="7432" width="9.14285714285714" style="1"/>
    <col min="7433" max="7433" width="43.2857142857143" style="1" customWidth="1"/>
    <col min="7434" max="7434" width="21.1428571428571" style="1" customWidth="1"/>
    <col min="7435" max="7680" width="9.14285714285714" style="1"/>
    <col min="7681" max="7681" width="8.28571428571429" style="1" customWidth="1"/>
    <col min="7682" max="7682" width="47.4285714285714" style="1" customWidth="1"/>
    <col min="7683" max="7683" width="17.5714285714286" style="1" customWidth="1"/>
    <col min="7684" max="7684" width="25.4285714285714" style="1" customWidth="1"/>
    <col min="7685" max="7685" width="25.2857142857143" style="1" customWidth="1"/>
    <col min="7686" max="7686" width="22.1428571428571" style="1" customWidth="1"/>
    <col min="7687" max="7688" width="9.14285714285714" style="1"/>
    <col min="7689" max="7689" width="43.2857142857143" style="1" customWidth="1"/>
    <col min="7690" max="7690" width="21.1428571428571" style="1" customWidth="1"/>
    <col min="7691" max="7936" width="9.14285714285714" style="1"/>
    <col min="7937" max="7937" width="8.28571428571429" style="1" customWidth="1"/>
    <col min="7938" max="7938" width="47.4285714285714" style="1" customWidth="1"/>
    <col min="7939" max="7939" width="17.5714285714286" style="1" customWidth="1"/>
    <col min="7940" max="7940" width="25.4285714285714" style="1" customWidth="1"/>
    <col min="7941" max="7941" width="25.2857142857143" style="1" customWidth="1"/>
    <col min="7942" max="7942" width="22.1428571428571" style="1" customWidth="1"/>
    <col min="7943" max="7944" width="9.14285714285714" style="1"/>
    <col min="7945" max="7945" width="43.2857142857143" style="1" customWidth="1"/>
    <col min="7946" max="7946" width="21.1428571428571" style="1" customWidth="1"/>
    <col min="7947" max="8192" width="9.14285714285714" style="1"/>
    <col min="8193" max="8193" width="8.28571428571429" style="1" customWidth="1"/>
    <col min="8194" max="8194" width="47.4285714285714" style="1" customWidth="1"/>
    <col min="8195" max="8195" width="17.5714285714286" style="1" customWidth="1"/>
    <col min="8196" max="8196" width="25.4285714285714" style="1" customWidth="1"/>
    <col min="8197" max="8197" width="25.2857142857143" style="1" customWidth="1"/>
    <col min="8198" max="8198" width="22.1428571428571" style="1" customWidth="1"/>
    <col min="8199" max="8200" width="9.14285714285714" style="1"/>
    <col min="8201" max="8201" width="43.2857142857143" style="1" customWidth="1"/>
    <col min="8202" max="8202" width="21.1428571428571" style="1" customWidth="1"/>
    <col min="8203" max="8448" width="9.14285714285714" style="1"/>
    <col min="8449" max="8449" width="8.28571428571429" style="1" customWidth="1"/>
    <col min="8450" max="8450" width="47.4285714285714" style="1" customWidth="1"/>
    <col min="8451" max="8451" width="17.5714285714286" style="1" customWidth="1"/>
    <col min="8452" max="8452" width="25.4285714285714" style="1" customWidth="1"/>
    <col min="8453" max="8453" width="25.2857142857143" style="1" customWidth="1"/>
    <col min="8454" max="8454" width="22.1428571428571" style="1" customWidth="1"/>
    <col min="8455" max="8456" width="9.14285714285714" style="1"/>
    <col min="8457" max="8457" width="43.2857142857143" style="1" customWidth="1"/>
    <col min="8458" max="8458" width="21.1428571428571" style="1" customWidth="1"/>
    <col min="8459" max="8704" width="9.14285714285714" style="1"/>
    <col min="8705" max="8705" width="8.28571428571429" style="1" customWidth="1"/>
    <col min="8706" max="8706" width="47.4285714285714" style="1" customWidth="1"/>
    <col min="8707" max="8707" width="17.5714285714286" style="1" customWidth="1"/>
    <col min="8708" max="8708" width="25.4285714285714" style="1" customWidth="1"/>
    <col min="8709" max="8709" width="25.2857142857143" style="1" customWidth="1"/>
    <col min="8710" max="8710" width="22.1428571428571" style="1" customWidth="1"/>
    <col min="8711" max="8712" width="9.14285714285714" style="1"/>
    <col min="8713" max="8713" width="43.2857142857143" style="1" customWidth="1"/>
    <col min="8714" max="8714" width="21.1428571428571" style="1" customWidth="1"/>
    <col min="8715" max="8960" width="9.14285714285714" style="1"/>
    <col min="8961" max="8961" width="8.28571428571429" style="1" customWidth="1"/>
    <col min="8962" max="8962" width="47.4285714285714" style="1" customWidth="1"/>
    <col min="8963" max="8963" width="17.5714285714286" style="1" customWidth="1"/>
    <col min="8964" max="8964" width="25.4285714285714" style="1" customWidth="1"/>
    <col min="8965" max="8965" width="25.2857142857143" style="1" customWidth="1"/>
    <col min="8966" max="8966" width="22.1428571428571" style="1" customWidth="1"/>
    <col min="8967" max="8968" width="9.14285714285714" style="1"/>
    <col min="8969" max="8969" width="43.2857142857143" style="1" customWidth="1"/>
    <col min="8970" max="8970" width="21.1428571428571" style="1" customWidth="1"/>
    <col min="8971" max="9216" width="9.14285714285714" style="1"/>
    <col min="9217" max="9217" width="8.28571428571429" style="1" customWidth="1"/>
    <col min="9218" max="9218" width="47.4285714285714" style="1" customWidth="1"/>
    <col min="9219" max="9219" width="17.5714285714286" style="1" customWidth="1"/>
    <col min="9220" max="9220" width="25.4285714285714" style="1" customWidth="1"/>
    <col min="9221" max="9221" width="25.2857142857143" style="1" customWidth="1"/>
    <col min="9222" max="9222" width="22.1428571428571" style="1" customWidth="1"/>
    <col min="9223" max="9224" width="9.14285714285714" style="1"/>
    <col min="9225" max="9225" width="43.2857142857143" style="1" customWidth="1"/>
    <col min="9226" max="9226" width="21.1428571428571" style="1" customWidth="1"/>
    <col min="9227" max="9472" width="9.14285714285714" style="1"/>
    <col min="9473" max="9473" width="8.28571428571429" style="1" customWidth="1"/>
    <col min="9474" max="9474" width="47.4285714285714" style="1" customWidth="1"/>
    <col min="9475" max="9475" width="17.5714285714286" style="1" customWidth="1"/>
    <col min="9476" max="9476" width="25.4285714285714" style="1" customWidth="1"/>
    <col min="9477" max="9477" width="25.2857142857143" style="1" customWidth="1"/>
    <col min="9478" max="9478" width="22.1428571428571" style="1" customWidth="1"/>
    <col min="9479" max="9480" width="9.14285714285714" style="1"/>
    <col min="9481" max="9481" width="43.2857142857143" style="1" customWidth="1"/>
    <col min="9482" max="9482" width="21.1428571428571" style="1" customWidth="1"/>
    <col min="9483" max="9728" width="9.14285714285714" style="1"/>
    <col min="9729" max="9729" width="8.28571428571429" style="1" customWidth="1"/>
    <col min="9730" max="9730" width="47.4285714285714" style="1" customWidth="1"/>
    <col min="9731" max="9731" width="17.5714285714286" style="1" customWidth="1"/>
    <col min="9732" max="9732" width="25.4285714285714" style="1" customWidth="1"/>
    <col min="9733" max="9733" width="25.2857142857143" style="1" customWidth="1"/>
    <col min="9734" max="9734" width="22.1428571428571" style="1" customWidth="1"/>
    <col min="9735" max="9736" width="9.14285714285714" style="1"/>
    <col min="9737" max="9737" width="43.2857142857143" style="1" customWidth="1"/>
    <col min="9738" max="9738" width="21.1428571428571" style="1" customWidth="1"/>
    <col min="9739" max="9984" width="9.14285714285714" style="1"/>
    <col min="9985" max="9985" width="8.28571428571429" style="1" customWidth="1"/>
    <col min="9986" max="9986" width="47.4285714285714" style="1" customWidth="1"/>
    <col min="9987" max="9987" width="17.5714285714286" style="1" customWidth="1"/>
    <col min="9988" max="9988" width="25.4285714285714" style="1" customWidth="1"/>
    <col min="9989" max="9989" width="25.2857142857143" style="1" customWidth="1"/>
    <col min="9990" max="9990" width="22.1428571428571" style="1" customWidth="1"/>
    <col min="9991" max="9992" width="9.14285714285714" style="1"/>
    <col min="9993" max="9993" width="43.2857142857143" style="1" customWidth="1"/>
    <col min="9994" max="9994" width="21.1428571428571" style="1" customWidth="1"/>
    <col min="9995" max="10240" width="9.14285714285714" style="1"/>
    <col min="10241" max="10241" width="8.28571428571429" style="1" customWidth="1"/>
    <col min="10242" max="10242" width="47.4285714285714" style="1" customWidth="1"/>
    <col min="10243" max="10243" width="17.5714285714286" style="1" customWidth="1"/>
    <col min="10244" max="10244" width="25.4285714285714" style="1" customWidth="1"/>
    <col min="10245" max="10245" width="25.2857142857143" style="1" customWidth="1"/>
    <col min="10246" max="10246" width="22.1428571428571" style="1" customWidth="1"/>
    <col min="10247" max="10248" width="9.14285714285714" style="1"/>
    <col min="10249" max="10249" width="43.2857142857143" style="1" customWidth="1"/>
    <col min="10250" max="10250" width="21.1428571428571" style="1" customWidth="1"/>
    <col min="10251" max="10496" width="9.14285714285714" style="1"/>
    <col min="10497" max="10497" width="8.28571428571429" style="1" customWidth="1"/>
    <col min="10498" max="10498" width="47.4285714285714" style="1" customWidth="1"/>
    <col min="10499" max="10499" width="17.5714285714286" style="1" customWidth="1"/>
    <col min="10500" max="10500" width="25.4285714285714" style="1" customWidth="1"/>
    <col min="10501" max="10501" width="25.2857142857143" style="1" customWidth="1"/>
    <col min="10502" max="10502" width="22.1428571428571" style="1" customWidth="1"/>
    <col min="10503" max="10504" width="9.14285714285714" style="1"/>
    <col min="10505" max="10505" width="43.2857142857143" style="1" customWidth="1"/>
    <col min="10506" max="10506" width="21.1428571428571" style="1" customWidth="1"/>
    <col min="10507" max="10752" width="9.14285714285714" style="1"/>
    <col min="10753" max="10753" width="8.28571428571429" style="1" customWidth="1"/>
    <col min="10754" max="10754" width="47.4285714285714" style="1" customWidth="1"/>
    <col min="10755" max="10755" width="17.5714285714286" style="1" customWidth="1"/>
    <col min="10756" max="10756" width="25.4285714285714" style="1" customWidth="1"/>
    <col min="10757" max="10757" width="25.2857142857143" style="1" customWidth="1"/>
    <col min="10758" max="10758" width="22.1428571428571" style="1" customWidth="1"/>
    <col min="10759" max="10760" width="9.14285714285714" style="1"/>
    <col min="10761" max="10761" width="43.2857142857143" style="1" customWidth="1"/>
    <col min="10762" max="10762" width="21.1428571428571" style="1" customWidth="1"/>
    <col min="10763" max="11008" width="9.14285714285714" style="1"/>
    <col min="11009" max="11009" width="8.28571428571429" style="1" customWidth="1"/>
    <col min="11010" max="11010" width="47.4285714285714" style="1" customWidth="1"/>
    <col min="11011" max="11011" width="17.5714285714286" style="1" customWidth="1"/>
    <col min="11012" max="11012" width="25.4285714285714" style="1" customWidth="1"/>
    <col min="11013" max="11013" width="25.2857142857143" style="1" customWidth="1"/>
    <col min="11014" max="11014" width="22.1428571428571" style="1" customWidth="1"/>
    <col min="11015" max="11016" width="9.14285714285714" style="1"/>
    <col min="11017" max="11017" width="43.2857142857143" style="1" customWidth="1"/>
    <col min="11018" max="11018" width="21.1428571428571" style="1" customWidth="1"/>
    <col min="11019" max="11264" width="9.14285714285714" style="1"/>
    <col min="11265" max="11265" width="8.28571428571429" style="1" customWidth="1"/>
    <col min="11266" max="11266" width="47.4285714285714" style="1" customWidth="1"/>
    <col min="11267" max="11267" width="17.5714285714286" style="1" customWidth="1"/>
    <col min="11268" max="11268" width="25.4285714285714" style="1" customWidth="1"/>
    <col min="11269" max="11269" width="25.2857142857143" style="1" customWidth="1"/>
    <col min="11270" max="11270" width="22.1428571428571" style="1" customWidth="1"/>
    <col min="11271" max="11272" width="9.14285714285714" style="1"/>
    <col min="11273" max="11273" width="43.2857142857143" style="1" customWidth="1"/>
    <col min="11274" max="11274" width="21.1428571428571" style="1" customWidth="1"/>
    <col min="11275" max="11520" width="9.14285714285714" style="1"/>
    <col min="11521" max="11521" width="8.28571428571429" style="1" customWidth="1"/>
    <col min="11522" max="11522" width="47.4285714285714" style="1" customWidth="1"/>
    <col min="11523" max="11523" width="17.5714285714286" style="1" customWidth="1"/>
    <col min="11524" max="11524" width="25.4285714285714" style="1" customWidth="1"/>
    <col min="11525" max="11525" width="25.2857142857143" style="1" customWidth="1"/>
    <col min="11526" max="11526" width="22.1428571428571" style="1" customWidth="1"/>
    <col min="11527" max="11528" width="9.14285714285714" style="1"/>
    <col min="11529" max="11529" width="43.2857142857143" style="1" customWidth="1"/>
    <col min="11530" max="11530" width="21.1428571428571" style="1" customWidth="1"/>
    <col min="11531" max="11776" width="9.14285714285714" style="1"/>
    <col min="11777" max="11777" width="8.28571428571429" style="1" customWidth="1"/>
    <col min="11778" max="11778" width="47.4285714285714" style="1" customWidth="1"/>
    <col min="11779" max="11779" width="17.5714285714286" style="1" customWidth="1"/>
    <col min="11780" max="11780" width="25.4285714285714" style="1" customWidth="1"/>
    <col min="11781" max="11781" width="25.2857142857143" style="1" customWidth="1"/>
    <col min="11782" max="11782" width="22.1428571428571" style="1" customWidth="1"/>
    <col min="11783" max="11784" width="9.14285714285714" style="1"/>
    <col min="11785" max="11785" width="43.2857142857143" style="1" customWidth="1"/>
    <col min="11786" max="11786" width="21.1428571428571" style="1" customWidth="1"/>
    <col min="11787" max="12032" width="9.14285714285714" style="1"/>
    <col min="12033" max="12033" width="8.28571428571429" style="1" customWidth="1"/>
    <col min="12034" max="12034" width="47.4285714285714" style="1" customWidth="1"/>
    <col min="12035" max="12035" width="17.5714285714286" style="1" customWidth="1"/>
    <col min="12036" max="12036" width="25.4285714285714" style="1" customWidth="1"/>
    <col min="12037" max="12037" width="25.2857142857143" style="1" customWidth="1"/>
    <col min="12038" max="12038" width="22.1428571428571" style="1" customWidth="1"/>
    <col min="12039" max="12040" width="9.14285714285714" style="1"/>
    <col min="12041" max="12041" width="43.2857142857143" style="1" customWidth="1"/>
    <col min="12042" max="12042" width="21.1428571428571" style="1" customWidth="1"/>
    <col min="12043" max="12288" width="9.14285714285714" style="1"/>
    <col min="12289" max="12289" width="8.28571428571429" style="1" customWidth="1"/>
    <col min="12290" max="12290" width="47.4285714285714" style="1" customWidth="1"/>
    <col min="12291" max="12291" width="17.5714285714286" style="1" customWidth="1"/>
    <col min="12292" max="12292" width="25.4285714285714" style="1" customWidth="1"/>
    <col min="12293" max="12293" width="25.2857142857143" style="1" customWidth="1"/>
    <col min="12294" max="12294" width="22.1428571428571" style="1" customWidth="1"/>
    <col min="12295" max="12296" width="9.14285714285714" style="1"/>
    <col min="12297" max="12297" width="43.2857142857143" style="1" customWidth="1"/>
    <col min="12298" max="12298" width="21.1428571428571" style="1" customWidth="1"/>
    <col min="12299" max="12544" width="9.14285714285714" style="1"/>
    <col min="12545" max="12545" width="8.28571428571429" style="1" customWidth="1"/>
    <col min="12546" max="12546" width="47.4285714285714" style="1" customWidth="1"/>
    <col min="12547" max="12547" width="17.5714285714286" style="1" customWidth="1"/>
    <col min="12548" max="12548" width="25.4285714285714" style="1" customWidth="1"/>
    <col min="12549" max="12549" width="25.2857142857143" style="1" customWidth="1"/>
    <col min="12550" max="12550" width="22.1428571428571" style="1" customWidth="1"/>
    <col min="12551" max="12552" width="9.14285714285714" style="1"/>
    <col min="12553" max="12553" width="43.2857142857143" style="1" customWidth="1"/>
    <col min="12554" max="12554" width="21.1428571428571" style="1" customWidth="1"/>
    <col min="12555" max="12800" width="9.14285714285714" style="1"/>
    <col min="12801" max="12801" width="8.28571428571429" style="1" customWidth="1"/>
    <col min="12802" max="12802" width="47.4285714285714" style="1" customWidth="1"/>
    <col min="12803" max="12803" width="17.5714285714286" style="1" customWidth="1"/>
    <col min="12804" max="12804" width="25.4285714285714" style="1" customWidth="1"/>
    <col min="12805" max="12805" width="25.2857142857143" style="1" customWidth="1"/>
    <col min="12806" max="12806" width="22.1428571428571" style="1" customWidth="1"/>
    <col min="12807" max="12808" width="9.14285714285714" style="1"/>
    <col min="12809" max="12809" width="43.2857142857143" style="1" customWidth="1"/>
    <col min="12810" max="12810" width="21.1428571428571" style="1" customWidth="1"/>
    <col min="12811" max="13056" width="9.14285714285714" style="1"/>
    <col min="13057" max="13057" width="8.28571428571429" style="1" customWidth="1"/>
    <col min="13058" max="13058" width="47.4285714285714" style="1" customWidth="1"/>
    <col min="13059" max="13059" width="17.5714285714286" style="1" customWidth="1"/>
    <col min="13060" max="13060" width="25.4285714285714" style="1" customWidth="1"/>
    <col min="13061" max="13061" width="25.2857142857143" style="1" customWidth="1"/>
    <col min="13062" max="13062" width="22.1428571428571" style="1" customWidth="1"/>
    <col min="13063" max="13064" width="9.14285714285714" style="1"/>
    <col min="13065" max="13065" width="43.2857142857143" style="1" customWidth="1"/>
    <col min="13066" max="13066" width="21.1428571428571" style="1" customWidth="1"/>
    <col min="13067" max="13312" width="9.14285714285714" style="1"/>
    <col min="13313" max="13313" width="8.28571428571429" style="1" customWidth="1"/>
    <col min="13314" max="13314" width="47.4285714285714" style="1" customWidth="1"/>
    <col min="13315" max="13315" width="17.5714285714286" style="1" customWidth="1"/>
    <col min="13316" max="13316" width="25.4285714285714" style="1" customWidth="1"/>
    <col min="13317" max="13317" width="25.2857142857143" style="1" customWidth="1"/>
    <col min="13318" max="13318" width="22.1428571428571" style="1" customWidth="1"/>
    <col min="13319" max="13320" width="9.14285714285714" style="1"/>
    <col min="13321" max="13321" width="43.2857142857143" style="1" customWidth="1"/>
    <col min="13322" max="13322" width="21.1428571428571" style="1" customWidth="1"/>
    <col min="13323" max="13568" width="9.14285714285714" style="1"/>
    <col min="13569" max="13569" width="8.28571428571429" style="1" customWidth="1"/>
    <col min="13570" max="13570" width="47.4285714285714" style="1" customWidth="1"/>
    <col min="13571" max="13571" width="17.5714285714286" style="1" customWidth="1"/>
    <col min="13572" max="13572" width="25.4285714285714" style="1" customWidth="1"/>
    <col min="13573" max="13573" width="25.2857142857143" style="1" customWidth="1"/>
    <col min="13574" max="13574" width="22.1428571428571" style="1" customWidth="1"/>
    <col min="13575" max="13576" width="9.14285714285714" style="1"/>
    <col min="13577" max="13577" width="43.2857142857143" style="1" customWidth="1"/>
    <col min="13578" max="13578" width="21.1428571428571" style="1" customWidth="1"/>
    <col min="13579" max="13824" width="9.14285714285714" style="1"/>
    <col min="13825" max="13825" width="8.28571428571429" style="1" customWidth="1"/>
    <col min="13826" max="13826" width="47.4285714285714" style="1" customWidth="1"/>
    <col min="13827" max="13827" width="17.5714285714286" style="1" customWidth="1"/>
    <col min="13828" max="13828" width="25.4285714285714" style="1" customWidth="1"/>
    <col min="13829" max="13829" width="25.2857142857143" style="1" customWidth="1"/>
    <col min="13830" max="13830" width="22.1428571428571" style="1" customWidth="1"/>
    <col min="13831" max="13832" width="9.14285714285714" style="1"/>
    <col min="13833" max="13833" width="43.2857142857143" style="1" customWidth="1"/>
    <col min="13834" max="13834" width="21.1428571428571" style="1" customWidth="1"/>
    <col min="13835" max="14080" width="9.14285714285714" style="1"/>
    <col min="14081" max="14081" width="8.28571428571429" style="1" customWidth="1"/>
    <col min="14082" max="14082" width="47.4285714285714" style="1" customWidth="1"/>
    <col min="14083" max="14083" width="17.5714285714286" style="1" customWidth="1"/>
    <col min="14084" max="14084" width="25.4285714285714" style="1" customWidth="1"/>
    <col min="14085" max="14085" width="25.2857142857143" style="1" customWidth="1"/>
    <col min="14086" max="14086" width="22.1428571428571" style="1" customWidth="1"/>
    <col min="14087" max="14088" width="9.14285714285714" style="1"/>
    <col min="14089" max="14089" width="43.2857142857143" style="1" customWidth="1"/>
    <col min="14090" max="14090" width="21.1428571428571" style="1" customWidth="1"/>
    <col min="14091" max="14336" width="9.14285714285714" style="1"/>
    <col min="14337" max="14337" width="8.28571428571429" style="1" customWidth="1"/>
    <col min="14338" max="14338" width="47.4285714285714" style="1" customWidth="1"/>
    <col min="14339" max="14339" width="17.5714285714286" style="1" customWidth="1"/>
    <col min="14340" max="14340" width="25.4285714285714" style="1" customWidth="1"/>
    <col min="14341" max="14341" width="25.2857142857143" style="1" customWidth="1"/>
    <col min="14342" max="14342" width="22.1428571428571" style="1" customWidth="1"/>
    <col min="14343" max="14344" width="9.14285714285714" style="1"/>
    <col min="14345" max="14345" width="43.2857142857143" style="1" customWidth="1"/>
    <col min="14346" max="14346" width="21.1428571428571" style="1" customWidth="1"/>
    <col min="14347" max="14592" width="9.14285714285714" style="1"/>
    <col min="14593" max="14593" width="8.28571428571429" style="1" customWidth="1"/>
    <col min="14594" max="14594" width="47.4285714285714" style="1" customWidth="1"/>
    <col min="14595" max="14595" width="17.5714285714286" style="1" customWidth="1"/>
    <col min="14596" max="14596" width="25.4285714285714" style="1" customWidth="1"/>
    <col min="14597" max="14597" width="25.2857142857143" style="1" customWidth="1"/>
    <col min="14598" max="14598" width="22.1428571428571" style="1" customWidth="1"/>
    <col min="14599" max="14600" width="9.14285714285714" style="1"/>
    <col min="14601" max="14601" width="43.2857142857143" style="1" customWidth="1"/>
    <col min="14602" max="14602" width="21.1428571428571" style="1" customWidth="1"/>
    <col min="14603" max="14848" width="9.14285714285714" style="1"/>
    <col min="14849" max="14849" width="8.28571428571429" style="1" customWidth="1"/>
    <col min="14850" max="14850" width="47.4285714285714" style="1" customWidth="1"/>
    <col min="14851" max="14851" width="17.5714285714286" style="1" customWidth="1"/>
    <col min="14852" max="14852" width="25.4285714285714" style="1" customWidth="1"/>
    <col min="14853" max="14853" width="25.2857142857143" style="1" customWidth="1"/>
    <col min="14854" max="14854" width="22.1428571428571" style="1" customWidth="1"/>
    <col min="14855" max="14856" width="9.14285714285714" style="1"/>
    <col min="14857" max="14857" width="43.2857142857143" style="1" customWidth="1"/>
    <col min="14858" max="14858" width="21.1428571428571" style="1" customWidth="1"/>
    <col min="14859" max="15104" width="9.14285714285714" style="1"/>
    <col min="15105" max="15105" width="8.28571428571429" style="1" customWidth="1"/>
    <col min="15106" max="15106" width="47.4285714285714" style="1" customWidth="1"/>
    <col min="15107" max="15107" width="17.5714285714286" style="1" customWidth="1"/>
    <col min="15108" max="15108" width="25.4285714285714" style="1" customWidth="1"/>
    <col min="15109" max="15109" width="25.2857142857143" style="1" customWidth="1"/>
    <col min="15110" max="15110" width="22.1428571428571" style="1" customWidth="1"/>
    <col min="15111" max="15112" width="9.14285714285714" style="1"/>
    <col min="15113" max="15113" width="43.2857142857143" style="1" customWidth="1"/>
    <col min="15114" max="15114" width="21.1428571428571" style="1" customWidth="1"/>
    <col min="15115" max="15360" width="9.14285714285714" style="1"/>
    <col min="15361" max="15361" width="8.28571428571429" style="1" customWidth="1"/>
    <col min="15362" max="15362" width="47.4285714285714" style="1" customWidth="1"/>
    <col min="15363" max="15363" width="17.5714285714286" style="1" customWidth="1"/>
    <col min="15364" max="15364" width="25.4285714285714" style="1" customWidth="1"/>
    <col min="15365" max="15365" width="25.2857142857143" style="1" customWidth="1"/>
    <col min="15366" max="15366" width="22.1428571428571" style="1" customWidth="1"/>
    <col min="15367" max="15368" width="9.14285714285714" style="1"/>
    <col min="15369" max="15369" width="43.2857142857143" style="1" customWidth="1"/>
    <col min="15370" max="15370" width="21.1428571428571" style="1" customWidth="1"/>
    <col min="15371" max="15616" width="9.14285714285714" style="1"/>
    <col min="15617" max="15617" width="8.28571428571429" style="1" customWidth="1"/>
    <col min="15618" max="15618" width="47.4285714285714" style="1" customWidth="1"/>
    <col min="15619" max="15619" width="17.5714285714286" style="1" customWidth="1"/>
    <col min="15620" max="15620" width="25.4285714285714" style="1" customWidth="1"/>
    <col min="15621" max="15621" width="25.2857142857143" style="1" customWidth="1"/>
    <col min="15622" max="15622" width="22.1428571428571" style="1" customWidth="1"/>
    <col min="15623" max="15624" width="9.14285714285714" style="1"/>
    <col min="15625" max="15625" width="43.2857142857143" style="1" customWidth="1"/>
    <col min="15626" max="15626" width="21.1428571428571" style="1" customWidth="1"/>
    <col min="15627" max="15872" width="9.14285714285714" style="1"/>
    <col min="15873" max="15873" width="8.28571428571429" style="1" customWidth="1"/>
    <col min="15874" max="15874" width="47.4285714285714" style="1" customWidth="1"/>
    <col min="15875" max="15875" width="17.5714285714286" style="1" customWidth="1"/>
    <col min="15876" max="15876" width="25.4285714285714" style="1" customWidth="1"/>
    <col min="15877" max="15877" width="25.2857142857143" style="1" customWidth="1"/>
    <col min="15878" max="15878" width="22.1428571428571" style="1" customWidth="1"/>
    <col min="15879" max="15880" width="9.14285714285714" style="1"/>
    <col min="15881" max="15881" width="43.2857142857143" style="1" customWidth="1"/>
    <col min="15882" max="15882" width="21.1428571428571" style="1" customWidth="1"/>
    <col min="15883" max="16128" width="9.14285714285714" style="1"/>
    <col min="16129" max="16129" width="8.28571428571429" style="1" customWidth="1"/>
    <col min="16130" max="16130" width="47.4285714285714" style="1" customWidth="1"/>
    <col min="16131" max="16131" width="17.5714285714286" style="1" customWidth="1"/>
    <col min="16132" max="16132" width="25.4285714285714" style="1" customWidth="1"/>
    <col min="16133" max="16133" width="25.2857142857143" style="1" customWidth="1"/>
    <col min="16134" max="16134" width="22.1428571428571" style="1" customWidth="1"/>
    <col min="16135" max="16136" width="9.14285714285714" style="1"/>
    <col min="16137" max="16137" width="43.2857142857143" style="1" customWidth="1"/>
    <col min="16138" max="16138" width="21.1428571428571" style="1" customWidth="1"/>
    <col min="16139" max="16384" width="9.14285714285714" style="1"/>
  </cols>
  <sheetData>
    <row r="1" ht="15.75" spans="1:6">
      <c r="A1" s="2" t="s">
        <v>0</v>
      </c>
      <c r="B1" s="2"/>
      <c r="C1" s="2"/>
      <c r="D1" s="2"/>
      <c r="E1" s="2"/>
      <c r="F1" s="2"/>
    </row>
    <row r="2" ht="15.75" spans="1:6">
      <c r="A2" s="2" t="s">
        <v>1</v>
      </c>
      <c r="B2" s="2"/>
      <c r="C2" s="2"/>
      <c r="D2" s="2"/>
      <c r="E2" s="2"/>
      <c r="F2" s="2"/>
    </row>
    <row r="3" ht="15.75" spans="1:6">
      <c r="A3" s="3" t="s">
        <v>2</v>
      </c>
      <c r="B3" s="3"/>
      <c r="C3" s="3"/>
      <c r="D3" s="3"/>
      <c r="E3" s="3"/>
      <c r="F3" s="3"/>
    </row>
    <row r="5" ht="15.75" spans="1:6">
      <c r="A5" s="4"/>
      <c r="B5" s="5" t="s">
        <v>3</v>
      </c>
      <c r="C5" s="6" t="s">
        <v>4</v>
      </c>
      <c r="D5" s="7"/>
      <c r="E5" s="8" t="s">
        <v>5</v>
      </c>
      <c r="F5" s="8" t="s">
        <v>6</v>
      </c>
    </row>
    <row r="6" ht="15.75" spans="1:10">
      <c r="A6" s="9"/>
      <c r="B6" s="43" t="s">
        <v>7</v>
      </c>
      <c r="C6" s="11">
        <v>39914156</v>
      </c>
      <c r="D6" s="12">
        <v>5124435641</v>
      </c>
      <c r="E6" s="13">
        <v>377317700</v>
      </c>
      <c r="F6" s="12">
        <f>SUM(C6:E6)</f>
        <v>5541667497</v>
      </c>
      <c r="G6" s="14"/>
      <c r="H6" s="2"/>
      <c r="I6" s="35"/>
      <c r="J6" s="36"/>
    </row>
    <row r="7" ht="15.75" spans="1:10">
      <c r="A7" s="15" t="s">
        <v>8</v>
      </c>
      <c r="B7" s="8" t="s">
        <v>9</v>
      </c>
      <c r="C7" s="16">
        <f>SUM(C6:C6)</f>
        <v>39914156</v>
      </c>
      <c r="D7" s="16">
        <f>SUM(D6:D6)</f>
        <v>5124435641</v>
      </c>
      <c r="E7" s="16">
        <f>SUM(E6:E6)</f>
        <v>377317700</v>
      </c>
      <c r="F7" s="17">
        <f>SUM(F6)</f>
        <v>5541667497</v>
      </c>
      <c r="H7" s="2"/>
      <c r="J7" s="29"/>
    </row>
    <row r="8" ht="15.75" spans="1:10">
      <c r="A8" s="9"/>
      <c r="B8" s="4"/>
      <c r="C8" s="4"/>
      <c r="D8" s="12"/>
      <c r="E8" s="4"/>
      <c r="F8" s="4"/>
      <c r="H8" s="2"/>
      <c r="I8" s="37"/>
      <c r="J8" s="29"/>
    </row>
    <row r="9" ht="15.75" spans="1:10">
      <c r="A9" s="4"/>
      <c r="B9" s="10"/>
      <c r="C9" s="44" t="s">
        <v>10</v>
      </c>
      <c r="D9" s="18" t="s">
        <v>11</v>
      </c>
      <c r="E9" s="15" t="s">
        <v>5</v>
      </c>
      <c r="F9" s="15" t="s">
        <v>6</v>
      </c>
      <c r="H9" s="2"/>
      <c r="I9" s="38"/>
      <c r="J9" s="36"/>
    </row>
    <row r="10" ht="15.75" spans="1:10">
      <c r="A10" s="9"/>
      <c r="B10" s="43" t="s">
        <v>12</v>
      </c>
      <c r="C10" s="13"/>
      <c r="D10" s="19">
        <v>475402636</v>
      </c>
      <c r="E10" s="4">
        <v>0</v>
      </c>
      <c r="F10" s="20">
        <f>SUM(C10:E10)</f>
        <v>475402636</v>
      </c>
      <c r="H10" s="2"/>
      <c r="I10" s="38"/>
      <c r="J10" s="29"/>
    </row>
    <row r="11" ht="15.75" spans="1:10">
      <c r="A11" s="9"/>
      <c r="B11" s="4" t="s">
        <v>13</v>
      </c>
      <c r="C11" s="13"/>
      <c r="D11" s="19">
        <v>1880852008</v>
      </c>
      <c r="E11" s="19">
        <v>833331338</v>
      </c>
      <c r="F11" s="20">
        <f>SUM(C11:E11)</f>
        <v>2714183346</v>
      </c>
      <c r="H11" s="2"/>
      <c r="I11" s="39"/>
      <c r="J11" s="29"/>
    </row>
    <row r="12" ht="15.75" spans="1:10">
      <c r="A12" s="9"/>
      <c r="B12" s="4" t="s">
        <v>14</v>
      </c>
      <c r="C12" s="13"/>
      <c r="D12" s="21">
        <v>1506345025</v>
      </c>
      <c r="E12" s="4">
        <v>0</v>
      </c>
      <c r="F12" s="20">
        <f>SUM(C12:E12)</f>
        <v>1506345025</v>
      </c>
      <c r="H12" s="2"/>
      <c r="I12" s="35"/>
      <c r="J12" s="36"/>
    </row>
    <row r="13" ht="15.75" spans="1:10">
      <c r="A13" s="15" t="s">
        <v>8</v>
      </c>
      <c r="B13" s="8" t="s">
        <v>15</v>
      </c>
      <c r="C13" s="17">
        <f>SUM(C10:C12)</f>
        <v>0</v>
      </c>
      <c r="D13" s="17">
        <f>SUM(D10:D12)</f>
        <v>3862599669</v>
      </c>
      <c r="E13" s="17">
        <f>SUM(E10:E12)</f>
        <v>833331338</v>
      </c>
      <c r="F13" s="17">
        <f>SUM(F10:F12)</f>
        <v>4695931007</v>
      </c>
      <c r="H13" s="2"/>
      <c r="J13" s="29"/>
    </row>
    <row r="14" ht="15.75" spans="1:10">
      <c r="A14" s="9"/>
      <c r="B14" s="22"/>
      <c r="C14" s="22"/>
      <c r="D14" s="12"/>
      <c r="E14" s="4"/>
      <c r="F14" s="20">
        <f>SUM(D14:E14)</f>
        <v>0</v>
      </c>
      <c r="H14" s="2"/>
      <c r="I14" s="37"/>
      <c r="J14" s="29"/>
    </row>
    <row r="15" ht="18" spans="1:10">
      <c r="A15" s="9"/>
      <c r="B15" s="43" t="s">
        <v>16</v>
      </c>
      <c r="C15" s="23"/>
      <c r="D15" s="21">
        <v>581093729</v>
      </c>
      <c r="E15" s="4"/>
      <c r="F15" s="20">
        <f>SUM(C15:E15)</f>
        <v>581093729</v>
      </c>
      <c r="H15" s="24"/>
      <c r="I15" s="35"/>
      <c r="J15" s="40"/>
    </row>
    <row r="16" spans="1:6">
      <c r="A16" s="9"/>
      <c r="B16" s="4" t="s">
        <v>17</v>
      </c>
      <c r="C16" s="13"/>
      <c r="D16" s="21">
        <v>1861144711</v>
      </c>
      <c r="E16" s="25">
        <v>919150421</v>
      </c>
      <c r="F16" s="20">
        <f>SUM(C16:E16)</f>
        <v>2780295132</v>
      </c>
    </row>
    <row r="17" ht="15.75" spans="1:10">
      <c r="A17" s="9"/>
      <c r="B17" s="4" t="s">
        <v>18</v>
      </c>
      <c r="C17" s="11"/>
      <c r="D17" s="19">
        <v>2416758690</v>
      </c>
      <c r="E17" s="4"/>
      <c r="F17" s="20">
        <f>SUM(C17:E17)</f>
        <v>2416758690</v>
      </c>
      <c r="H17" s="2"/>
      <c r="I17" s="37"/>
      <c r="J17" s="29"/>
    </row>
    <row r="18" ht="15.75" spans="1:10">
      <c r="A18" s="15" t="s">
        <v>19</v>
      </c>
      <c r="B18" s="8" t="s">
        <v>20</v>
      </c>
      <c r="C18" s="26">
        <f>SUM(C15:C17)</f>
        <v>0</v>
      </c>
      <c r="D18" s="17">
        <f>SUM(D15:D17)</f>
        <v>4858997130</v>
      </c>
      <c r="E18" s="16">
        <f>SUM(E16:E17)</f>
        <v>919150421</v>
      </c>
      <c r="F18" s="27">
        <f>SUM(F15:F17)</f>
        <v>5778147551</v>
      </c>
      <c r="H18" s="2"/>
      <c r="I18" s="37"/>
      <c r="J18" s="29"/>
    </row>
    <row r="19" ht="15.75" spans="1:10">
      <c r="A19" s="9"/>
      <c r="B19" s="45" t="s">
        <v>21</v>
      </c>
      <c r="C19" s="27">
        <f>C7+C13-C18</f>
        <v>39914156</v>
      </c>
      <c r="D19" s="27">
        <f>D7+D13-D18</f>
        <v>4128038180</v>
      </c>
      <c r="E19" s="27">
        <f>E7+E13-E18</f>
        <v>291498617</v>
      </c>
      <c r="F19" s="27">
        <f>F7+F13-F18</f>
        <v>4459450953</v>
      </c>
      <c r="H19" s="2"/>
      <c r="I19" s="37"/>
      <c r="J19" s="29"/>
    </row>
    <row r="20" ht="15.75" spans="6:10">
      <c r="F20" s="29"/>
      <c r="H20" s="2"/>
      <c r="I20" s="35"/>
      <c r="J20" s="36"/>
    </row>
    <row r="21" ht="15.75" spans="2:10">
      <c r="B21" s="30">
        <v>681</v>
      </c>
      <c r="C21" s="31">
        <v>366535000</v>
      </c>
      <c r="F21" s="32"/>
      <c r="H21" s="2"/>
      <c r="I21" s="37"/>
      <c r="J21" s="36"/>
    </row>
    <row r="22" ht="15.75" spans="2:10">
      <c r="B22" s="30"/>
      <c r="C22" s="33">
        <f>SUM(C21)</f>
        <v>366535000</v>
      </c>
      <c r="H22" s="2"/>
      <c r="I22" s="37"/>
      <c r="J22" s="29"/>
    </row>
    <row r="23" ht="18" spans="2:10">
      <c r="B23" s="30">
        <v>683</v>
      </c>
      <c r="C23" s="31">
        <v>50031202</v>
      </c>
      <c r="D23" s="30"/>
      <c r="E23" s="31"/>
      <c r="F23" s="32">
        <f>F6-F19</f>
        <v>1082216544</v>
      </c>
      <c r="H23" s="24"/>
      <c r="I23" s="35"/>
      <c r="J23" s="41"/>
    </row>
    <row r="24" ht="15.75" spans="2:10">
      <c r="B24" s="30" t="s">
        <v>22</v>
      </c>
      <c r="C24" s="31">
        <v>16352338</v>
      </c>
      <c r="D24" s="30"/>
      <c r="E24" s="33"/>
      <c r="H24" s="24"/>
      <c r="I24" s="35"/>
      <c r="J24" s="29"/>
    </row>
    <row r="25" spans="2:10">
      <c r="B25" s="30">
        <v>684</v>
      </c>
      <c r="C25" s="31">
        <f>4404092421+423409198+265827157+401826230</f>
        <v>5495155006</v>
      </c>
      <c r="H25"/>
      <c r="I25"/>
      <c r="J25"/>
    </row>
    <row r="26" spans="2:10">
      <c r="B26" s="30" t="s">
        <v>23</v>
      </c>
      <c r="C26" s="31">
        <v>194655959</v>
      </c>
      <c r="H26"/>
      <c r="I26"/>
      <c r="J26" s="42"/>
    </row>
    <row r="27" spans="2:10">
      <c r="B27" s="30" t="s">
        <v>24</v>
      </c>
      <c r="C27" s="31">
        <v>92332120</v>
      </c>
      <c r="H27"/>
      <c r="I27"/>
      <c r="J27"/>
    </row>
    <row r="28" ht="15.75" spans="2:10">
      <c r="B28" s="30"/>
      <c r="C28" s="33">
        <f>SUM(C23:C27)</f>
        <v>5848526625</v>
      </c>
      <c r="H28"/>
      <c r="I28"/>
      <c r="J28"/>
    </row>
    <row r="29" ht="15.75" spans="2:3">
      <c r="B29" s="2" t="s">
        <v>25</v>
      </c>
      <c r="C29" s="34">
        <f>C22+C28</f>
        <v>6215061625</v>
      </c>
    </row>
  </sheetData>
  <mergeCells count="4">
    <mergeCell ref="A1:F1"/>
    <mergeCell ref="A2:F2"/>
    <mergeCell ref="A3:F3"/>
    <mergeCell ref="C5:D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selection activeCell="E31" sqref="E31"/>
    </sheetView>
  </sheetViews>
  <sheetFormatPr defaultColWidth="9" defaultRowHeight="15"/>
  <cols>
    <col min="1" max="1" width="8.28571428571429" style="1" customWidth="1"/>
    <col min="2" max="2" width="47.4285714285714" style="1" customWidth="1"/>
    <col min="3" max="3" width="17.5714285714286" style="1" customWidth="1"/>
    <col min="4" max="4" width="25.4285714285714" style="1" customWidth="1"/>
    <col min="5" max="5" width="25.2857142857143" style="1" customWidth="1"/>
    <col min="6" max="6" width="22.1428571428571" style="1" customWidth="1"/>
    <col min="7" max="8" width="9.14285714285714" style="1"/>
    <col min="9" max="9" width="43.2857142857143" style="1" customWidth="1"/>
    <col min="10" max="10" width="21.1428571428571" style="1" customWidth="1"/>
    <col min="11" max="256" width="9.14285714285714" style="1"/>
    <col min="257" max="257" width="8.28571428571429" style="1" customWidth="1"/>
    <col min="258" max="258" width="47.4285714285714" style="1" customWidth="1"/>
    <col min="259" max="259" width="17.5714285714286" style="1" customWidth="1"/>
    <col min="260" max="260" width="25.4285714285714" style="1" customWidth="1"/>
    <col min="261" max="261" width="25.2857142857143" style="1" customWidth="1"/>
    <col min="262" max="262" width="22.1428571428571" style="1" customWidth="1"/>
    <col min="263" max="264" width="9.14285714285714" style="1"/>
    <col min="265" max="265" width="43.2857142857143" style="1" customWidth="1"/>
    <col min="266" max="266" width="21.1428571428571" style="1" customWidth="1"/>
    <col min="267" max="512" width="9.14285714285714" style="1"/>
    <col min="513" max="513" width="8.28571428571429" style="1" customWidth="1"/>
    <col min="514" max="514" width="47.4285714285714" style="1" customWidth="1"/>
    <col min="515" max="515" width="17.5714285714286" style="1" customWidth="1"/>
    <col min="516" max="516" width="25.4285714285714" style="1" customWidth="1"/>
    <col min="517" max="517" width="25.2857142857143" style="1" customWidth="1"/>
    <col min="518" max="518" width="22.1428571428571" style="1" customWidth="1"/>
    <col min="519" max="520" width="9.14285714285714" style="1"/>
    <col min="521" max="521" width="43.2857142857143" style="1" customWidth="1"/>
    <col min="522" max="522" width="21.1428571428571" style="1" customWidth="1"/>
    <col min="523" max="768" width="9.14285714285714" style="1"/>
    <col min="769" max="769" width="8.28571428571429" style="1" customWidth="1"/>
    <col min="770" max="770" width="47.4285714285714" style="1" customWidth="1"/>
    <col min="771" max="771" width="17.5714285714286" style="1" customWidth="1"/>
    <col min="772" max="772" width="25.4285714285714" style="1" customWidth="1"/>
    <col min="773" max="773" width="25.2857142857143" style="1" customWidth="1"/>
    <col min="774" max="774" width="22.1428571428571" style="1" customWidth="1"/>
    <col min="775" max="776" width="9.14285714285714" style="1"/>
    <col min="777" max="777" width="43.2857142857143" style="1" customWidth="1"/>
    <col min="778" max="778" width="21.1428571428571" style="1" customWidth="1"/>
    <col min="779" max="1024" width="9.14285714285714" style="1"/>
    <col min="1025" max="1025" width="8.28571428571429" style="1" customWidth="1"/>
    <col min="1026" max="1026" width="47.4285714285714" style="1" customWidth="1"/>
    <col min="1027" max="1027" width="17.5714285714286" style="1" customWidth="1"/>
    <col min="1028" max="1028" width="25.4285714285714" style="1" customWidth="1"/>
    <col min="1029" max="1029" width="25.2857142857143" style="1" customWidth="1"/>
    <col min="1030" max="1030" width="22.1428571428571" style="1" customWidth="1"/>
    <col min="1031" max="1032" width="9.14285714285714" style="1"/>
    <col min="1033" max="1033" width="43.2857142857143" style="1" customWidth="1"/>
    <col min="1034" max="1034" width="21.1428571428571" style="1" customWidth="1"/>
    <col min="1035" max="1280" width="9.14285714285714" style="1"/>
    <col min="1281" max="1281" width="8.28571428571429" style="1" customWidth="1"/>
    <col min="1282" max="1282" width="47.4285714285714" style="1" customWidth="1"/>
    <col min="1283" max="1283" width="17.5714285714286" style="1" customWidth="1"/>
    <col min="1284" max="1284" width="25.4285714285714" style="1" customWidth="1"/>
    <col min="1285" max="1285" width="25.2857142857143" style="1" customWidth="1"/>
    <col min="1286" max="1286" width="22.1428571428571" style="1" customWidth="1"/>
    <col min="1287" max="1288" width="9.14285714285714" style="1"/>
    <col min="1289" max="1289" width="43.2857142857143" style="1" customWidth="1"/>
    <col min="1290" max="1290" width="21.1428571428571" style="1" customWidth="1"/>
    <col min="1291" max="1536" width="9.14285714285714" style="1"/>
    <col min="1537" max="1537" width="8.28571428571429" style="1" customWidth="1"/>
    <col min="1538" max="1538" width="47.4285714285714" style="1" customWidth="1"/>
    <col min="1539" max="1539" width="17.5714285714286" style="1" customWidth="1"/>
    <col min="1540" max="1540" width="25.4285714285714" style="1" customWidth="1"/>
    <col min="1541" max="1541" width="25.2857142857143" style="1" customWidth="1"/>
    <col min="1542" max="1542" width="22.1428571428571" style="1" customWidth="1"/>
    <col min="1543" max="1544" width="9.14285714285714" style="1"/>
    <col min="1545" max="1545" width="43.2857142857143" style="1" customWidth="1"/>
    <col min="1546" max="1546" width="21.1428571428571" style="1" customWidth="1"/>
    <col min="1547" max="1792" width="9.14285714285714" style="1"/>
    <col min="1793" max="1793" width="8.28571428571429" style="1" customWidth="1"/>
    <col min="1794" max="1794" width="47.4285714285714" style="1" customWidth="1"/>
    <col min="1795" max="1795" width="17.5714285714286" style="1" customWidth="1"/>
    <col min="1796" max="1796" width="25.4285714285714" style="1" customWidth="1"/>
    <col min="1797" max="1797" width="25.2857142857143" style="1" customWidth="1"/>
    <col min="1798" max="1798" width="22.1428571428571" style="1" customWidth="1"/>
    <col min="1799" max="1800" width="9.14285714285714" style="1"/>
    <col min="1801" max="1801" width="43.2857142857143" style="1" customWidth="1"/>
    <col min="1802" max="1802" width="21.1428571428571" style="1" customWidth="1"/>
    <col min="1803" max="2048" width="9.14285714285714" style="1"/>
    <col min="2049" max="2049" width="8.28571428571429" style="1" customWidth="1"/>
    <col min="2050" max="2050" width="47.4285714285714" style="1" customWidth="1"/>
    <col min="2051" max="2051" width="17.5714285714286" style="1" customWidth="1"/>
    <col min="2052" max="2052" width="25.4285714285714" style="1" customWidth="1"/>
    <col min="2053" max="2053" width="25.2857142857143" style="1" customWidth="1"/>
    <col min="2054" max="2054" width="22.1428571428571" style="1" customWidth="1"/>
    <col min="2055" max="2056" width="9.14285714285714" style="1"/>
    <col min="2057" max="2057" width="43.2857142857143" style="1" customWidth="1"/>
    <col min="2058" max="2058" width="21.1428571428571" style="1" customWidth="1"/>
    <col min="2059" max="2304" width="9.14285714285714" style="1"/>
    <col min="2305" max="2305" width="8.28571428571429" style="1" customWidth="1"/>
    <col min="2306" max="2306" width="47.4285714285714" style="1" customWidth="1"/>
    <col min="2307" max="2307" width="17.5714285714286" style="1" customWidth="1"/>
    <col min="2308" max="2308" width="25.4285714285714" style="1" customWidth="1"/>
    <col min="2309" max="2309" width="25.2857142857143" style="1" customWidth="1"/>
    <col min="2310" max="2310" width="22.1428571428571" style="1" customWidth="1"/>
    <col min="2311" max="2312" width="9.14285714285714" style="1"/>
    <col min="2313" max="2313" width="43.2857142857143" style="1" customWidth="1"/>
    <col min="2314" max="2314" width="21.1428571428571" style="1" customWidth="1"/>
    <col min="2315" max="2560" width="9.14285714285714" style="1"/>
    <col min="2561" max="2561" width="8.28571428571429" style="1" customWidth="1"/>
    <col min="2562" max="2562" width="47.4285714285714" style="1" customWidth="1"/>
    <col min="2563" max="2563" width="17.5714285714286" style="1" customWidth="1"/>
    <col min="2564" max="2564" width="25.4285714285714" style="1" customWidth="1"/>
    <col min="2565" max="2565" width="25.2857142857143" style="1" customWidth="1"/>
    <col min="2566" max="2566" width="22.1428571428571" style="1" customWidth="1"/>
    <col min="2567" max="2568" width="9.14285714285714" style="1"/>
    <col min="2569" max="2569" width="43.2857142857143" style="1" customWidth="1"/>
    <col min="2570" max="2570" width="21.1428571428571" style="1" customWidth="1"/>
    <col min="2571" max="2816" width="9.14285714285714" style="1"/>
    <col min="2817" max="2817" width="8.28571428571429" style="1" customWidth="1"/>
    <col min="2818" max="2818" width="47.4285714285714" style="1" customWidth="1"/>
    <col min="2819" max="2819" width="17.5714285714286" style="1" customWidth="1"/>
    <col min="2820" max="2820" width="25.4285714285714" style="1" customWidth="1"/>
    <col min="2821" max="2821" width="25.2857142857143" style="1" customWidth="1"/>
    <col min="2822" max="2822" width="22.1428571428571" style="1" customWidth="1"/>
    <col min="2823" max="2824" width="9.14285714285714" style="1"/>
    <col min="2825" max="2825" width="43.2857142857143" style="1" customWidth="1"/>
    <col min="2826" max="2826" width="21.1428571428571" style="1" customWidth="1"/>
    <col min="2827" max="3072" width="9.14285714285714" style="1"/>
    <col min="3073" max="3073" width="8.28571428571429" style="1" customWidth="1"/>
    <col min="3074" max="3074" width="47.4285714285714" style="1" customWidth="1"/>
    <col min="3075" max="3075" width="17.5714285714286" style="1" customWidth="1"/>
    <col min="3076" max="3076" width="25.4285714285714" style="1" customWidth="1"/>
    <col min="3077" max="3077" width="25.2857142857143" style="1" customWidth="1"/>
    <col min="3078" max="3078" width="22.1428571428571" style="1" customWidth="1"/>
    <col min="3079" max="3080" width="9.14285714285714" style="1"/>
    <col min="3081" max="3081" width="43.2857142857143" style="1" customWidth="1"/>
    <col min="3082" max="3082" width="21.1428571428571" style="1" customWidth="1"/>
    <col min="3083" max="3328" width="9.14285714285714" style="1"/>
    <col min="3329" max="3329" width="8.28571428571429" style="1" customWidth="1"/>
    <col min="3330" max="3330" width="47.4285714285714" style="1" customWidth="1"/>
    <col min="3331" max="3331" width="17.5714285714286" style="1" customWidth="1"/>
    <col min="3332" max="3332" width="25.4285714285714" style="1" customWidth="1"/>
    <col min="3333" max="3333" width="25.2857142857143" style="1" customWidth="1"/>
    <col min="3334" max="3334" width="22.1428571428571" style="1" customWidth="1"/>
    <col min="3335" max="3336" width="9.14285714285714" style="1"/>
    <col min="3337" max="3337" width="43.2857142857143" style="1" customWidth="1"/>
    <col min="3338" max="3338" width="21.1428571428571" style="1" customWidth="1"/>
    <col min="3339" max="3584" width="9.14285714285714" style="1"/>
    <col min="3585" max="3585" width="8.28571428571429" style="1" customWidth="1"/>
    <col min="3586" max="3586" width="47.4285714285714" style="1" customWidth="1"/>
    <col min="3587" max="3587" width="17.5714285714286" style="1" customWidth="1"/>
    <col min="3588" max="3588" width="25.4285714285714" style="1" customWidth="1"/>
    <col min="3589" max="3589" width="25.2857142857143" style="1" customWidth="1"/>
    <col min="3590" max="3590" width="22.1428571428571" style="1" customWidth="1"/>
    <col min="3591" max="3592" width="9.14285714285714" style="1"/>
    <col min="3593" max="3593" width="43.2857142857143" style="1" customWidth="1"/>
    <col min="3594" max="3594" width="21.1428571428571" style="1" customWidth="1"/>
    <col min="3595" max="3840" width="9.14285714285714" style="1"/>
    <col min="3841" max="3841" width="8.28571428571429" style="1" customWidth="1"/>
    <col min="3842" max="3842" width="47.4285714285714" style="1" customWidth="1"/>
    <col min="3843" max="3843" width="17.5714285714286" style="1" customWidth="1"/>
    <col min="3844" max="3844" width="25.4285714285714" style="1" customWidth="1"/>
    <col min="3845" max="3845" width="25.2857142857143" style="1" customWidth="1"/>
    <col min="3846" max="3846" width="22.1428571428571" style="1" customWidth="1"/>
    <col min="3847" max="3848" width="9.14285714285714" style="1"/>
    <col min="3849" max="3849" width="43.2857142857143" style="1" customWidth="1"/>
    <col min="3850" max="3850" width="21.1428571428571" style="1" customWidth="1"/>
    <col min="3851" max="4096" width="9.14285714285714" style="1"/>
    <col min="4097" max="4097" width="8.28571428571429" style="1" customWidth="1"/>
    <col min="4098" max="4098" width="47.4285714285714" style="1" customWidth="1"/>
    <col min="4099" max="4099" width="17.5714285714286" style="1" customWidth="1"/>
    <col min="4100" max="4100" width="25.4285714285714" style="1" customWidth="1"/>
    <col min="4101" max="4101" width="25.2857142857143" style="1" customWidth="1"/>
    <col min="4102" max="4102" width="22.1428571428571" style="1" customWidth="1"/>
    <col min="4103" max="4104" width="9.14285714285714" style="1"/>
    <col min="4105" max="4105" width="43.2857142857143" style="1" customWidth="1"/>
    <col min="4106" max="4106" width="21.1428571428571" style="1" customWidth="1"/>
    <col min="4107" max="4352" width="9.14285714285714" style="1"/>
    <col min="4353" max="4353" width="8.28571428571429" style="1" customWidth="1"/>
    <col min="4354" max="4354" width="47.4285714285714" style="1" customWidth="1"/>
    <col min="4355" max="4355" width="17.5714285714286" style="1" customWidth="1"/>
    <col min="4356" max="4356" width="25.4285714285714" style="1" customWidth="1"/>
    <col min="4357" max="4357" width="25.2857142857143" style="1" customWidth="1"/>
    <col min="4358" max="4358" width="22.1428571428571" style="1" customWidth="1"/>
    <col min="4359" max="4360" width="9.14285714285714" style="1"/>
    <col min="4361" max="4361" width="43.2857142857143" style="1" customWidth="1"/>
    <col min="4362" max="4362" width="21.1428571428571" style="1" customWidth="1"/>
    <col min="4363" max="4608" width="9.14285714285714" style="1"/>
    <col min="4609" max="4609" width="8.28571428571429" style="1" customWidth="1"/>
    <col min="4610" max="4610" width="47.4285714285714" style="1" customWidth="1"/>
    <col min="4611" max="4611" width="17.5714285714286" style="1" customWidth="1"/>
    <col min="4612" max="4612" width="25.4285714285714" style="1" customWidth="1"/>
    <col min="4613" max="4613" width="25.2857142857143" style="1" customWidth="1"/>
    <col min="4614" max="4614" width="22.1428571428571" style="1" customWidth="1"/>
    <col min="4615" max="4616" width="9.14285714285714" style="1"/>
    <col min="4617" max="4617" width="43.2857142857143" style="1" customWidth="1"/>
    <col min="4618" max="4618" width="21.1428571428571" style="1" customWidth="1"/>
    <col min="4619" max="4864" width="9.14285714285714" style="1"/>
    <col min="4865" max="4865" width="8.28571428571429" style="1" customWidth="1"/>
    <col min="4866" max="4866" width="47.4285714285714" style="1" customWidth="1"/>
    <col min="4867" max="4867" width="17.5714285714286" style="1" customWidth="1"/>
    <col min="4868" max="4868" width="25.4285714285714" style="1" customWidth="1"/>
    <col min="4869" max="4869" width="25.2857142857143" style="1" customWidth="1"/>
    <col min="4870" max="4870" width="22.1428571428571" style="1" customWidth="1"/>
    <col min="4871" max="4872" width="9.14285714285714" style="1"/>
    <col min="4873" max="4873" width="43.2857142857143" style="1" customWidth="1"/>
    <col min="4874" max="4874" width="21.1428571428571" style="1" customWidth="1"/>
    <col min="4875" max="5120" width="9.14285714285714" style="1"/>
    <col min="5121" max="5121" width="8.28571428571429" style="1" customWidth="1"/>
    <col min="5122" max="5122" width="47.4285714285714" style="1" customWidth="1"/>
    <col min="5123" max="5123" width="17.5714285714286" style="1" customWidth="1"/>
    <col min="5124" max="5124" width="25.4285714285714" style="1" customWidth="1"/>
    <col min="5125" max="5125" width="25.2857142857143" style="1" customWidth="1"/>
    <col min="5126" max="5126" width="22.1428571428571" style="1" customWidth="1"/>
    <col min="5127" max="5128" width="9.14285714285714" style="1"/>
    <col min="5129" max="5129" width="43.2857142857143" style="1" customWidth="1"/>
    <col min="5130" max="5130" width="21.1428571428571" style="1" customWidth="1"/>
    <col min="5131" max="5376" width="9.14285714285714" style="1"/>
    <col min="5377" max="5377" width="8.28571428571429" style="1" customWidth="1"/>
    <col min="5378" max="5378" width="47.4285714285714" style="1" customWidth="1"/>
    <col min="5379" max="5379" width="17.5714285714286" style="1" customWidth="1"/>
    <col min="5380" max="5380" width="25.4285714285714" style="1" customWidth="1"/>
    <col min="5381" max="5381" width="25.2857142857143" style="1" customWidth="1"/>
    <col min="5382" max="5382" width="22.1428571428571" style="1" customWidth="1"/>
    <col min="5383" max="5384" width="9.14285714285714" style="1"/>
    <col min="5385" max="5385" width="43.2857142857143" style="1" customWidth="1"/>
    <col min="5386" max="5386" width="21.1428571428571" style="1" customWidth="1"/>
    <col min="5387" max="5632" width="9.14285714285714" style="1"/>
    <col min="5633" max="5633" width="8.28571428571429" style="1" customWidth="1"/>
    <col min="5634" max="5634" width="47.4285714285714" style="1" customWidth="1"/>
    <col min="5635" max="5635" width="17.5714285714286" style="1" customWidth="1"/>
    <col min="5636" max="5636" width="25.4285714285714" style="1" customWidth="1"/>
    <col min="5637" max="5637" width="25.2857142857143" style="1" customWidth="1"/>
    <col min="5638" max="5638" width="22.1428571428571" style="1" customWidth="1"/>
    <col min="5639" max="5640" width="9.14285714285714" style="1"/>
    <col min="5641" max="5641" width="43.2857142857143" style="1" customWidth="1"/>
    <col min="5642" max="5642" width="21.1428571428571" style="1" customWidth="1"/>
    <col min="5643" max="5888" width="9.14285714285714" style="1"/>
    <col min="5889" max="5889" width="8.28571428571429" style="1" customWidth="1"/>
    <col min="5890" max="5890" width="47.4285714285714" style="1" customWidth="1"/>
    <col min="5891" max="5891" width="17.5714285714286" style="1" customWidth="1"/>
    <col min="5892" max="5892" width="25.4285714285714" style="1" customWidth="1"/>
    <col min="5893" max="5893" width="25.2857142857143" style="1" customWidth="1"/>
    <col min="5894" max="5894" width="22.1428571428571" style="1" customWidth="1"/>
    <col min="5895" max="5896" width="9.14285714285714" style="1"/>
    <col min="5897" max="5897" width="43.2857142857143" style="1" customWidth="1"/>
    <col min="5898" max="5898" width="21.1428571428571" style="1" customWidth="1"/>
    <col min="5899" max="6144" width="9.14285714285714" style="1"/>
    <col min="6145" max="6145" width="8.28571428571429" style="1" customWidth="1"/>
    <col min="6146" max="6146" width="47.4285714285714" style="1" customWidth="1"/>
    <col min="6147" max="6147" width="17.5714285714286" style="1" customWidth="1"/>
    <col min="6148" max="6148" width="25.4285714285714" style="1" customWidth="1"/>
    <col min="6149" max="6149" width="25.2857142857143" style="1" customWidth="1"/>
    <col min="6150" max="6150" width="22.1428571428571" style="1" customWidth="1"/>
    <col min="6151" max="6152" width="9.14285714285714" style="1"/>
    <col min="6153" max="6153" width="43.2857142857143" style="1" customWidth="1"/>
    <col min="6154" max="6154" width="21.1428571428571" style="1" customWidth="1"/>
    <col min="6155" max="6400" width="9.14285714285714" style="1"/>
    <col min="6401" max="6401" width="8.28571428571429" style="1" customWidth="1"/>
    <col min="6402" max="6402" width="47.4285714285714" style="1" customWidth="1"/>
    <col min="6403" max="6403" width="17.5714285714286" style="1" customWidth="1"/>
    <col min="6404" max="6404" width="25.4285714285714" style="1" customWidth="1"/>
    <col min="6405" max="6405" width="25.2857142857143" style="1" customWidth="1"/>
    <col min="6406" max="6406" width="22.1428571428571" style="1" customWidth="1"/>
    <col min="6407" max="6408" width="9.14285714285714" style="1"/>
    <col min="6409" max="6409" width="43.2857142857143" style="1" customWidth="1"/>
    <col min="6410" max="6410" width="21.1428571428571" style="1" customWidth="1"/>
    <col min="6411" max="6656" width="9.14285714285714" style="1"/>
    <col min="6657" max="6657" width="8.28571428571429" style="1" customWidth="1"/>
    <col min="6658" max="6658" width="47.4285714285714" style="1" customWidth="1"/>
    <col min="6659" max="6659" width="17.5714285714286" style="1" customWidth="1"/>
    <col min="6660" max="6660" width="25.4285714285714" style="1" customWidth="1"/>
    <col min="6661" max="6661" width="25.2857142857143" style="1" customWidth="1"/>
    <col min="6662" max="6662" width="22.1428571428571" style="1" customWidth="1"/>
    <col min="6663" max="6664" width="9.14285714285714" style="1"/>
    <col min="6665" max="6665" width="43.2857142857143" style="1" customWidth="1"/>
    <col min="6666" max="6666" width="21.1428571428571" style="1" customWidth="1"/>
    <col min="6667" max="6912" width="9.14285714285714" style="1"/>
    <col min="6913" max="6913" width="8.28571428571429" style="1" customWidth="1"/>
    <col min="6914" max="6914" width="47.4285714285714" style="1" customWidth="1"/>
    <col min="6915" max="6915" width="17.5714285714286" style="1" customWidth="1"/>
    <col min="6916" max="6916" width="25.4285714285714" style="1" customWidth="1"/>
    <col min="6917" max="6917" width="25.2857142857143" style="1" customWidth="1"/>
    <col min="6918" max="6918" width="22.1428571428571" style="1" customWidth="1"/>
    <col min="6919" max="6920" width="9.14285714285714" style="1"/>
    <col min="6921" max="6921" width="43.2857142857143" style="1" customWidth="1"/>
    <col min="6922" max="6922" width="21.1428571428571" style="1" customWidth="1"/>
    <col min="6923" max="7168" width="9.14285714285714" style="1"/>
    <col min="7169" max="7169" width="8.28571428571429" style="1" customWidth="1"/>
    <col min="7170" max="7170" width="47.4285714285714" style="1" customWidth="1"/>
    <col min="7171" max="7171" width="17.5714285714286" style="1" customWidth="1"/>
    <col min="7172" max="7172" width="25.4285714285714" style="1" customWidth="1"/>
    <col min="7173" max="7173" width="25.2857142857143" style="1" customWidth="1"/>
    <col min="7174" max="7174" width="22.1428571428571" style="1" customWidth="1"/>
    <col min="7175" max="7176" width="9.14285714285714" style="1"/>
    <col min="7177" max="7177" width="43.2857142857143" style="1" customWidth="1"/>
    <col min="7178" max="7178" width="21.1428571428571" style="1" customWidth="1"/>
    <col min="7179" max="7424" width="9.14285714285714" style="1"/>
    <col min="7425" max="7425" width="8.28571428571429" style="1" customWidth="1"/>
    <col min="7426" max="7426" width="47.4285714285714" style="1" customWidth="1"/>
    <col min="7427" max="7427" width="17.5714285714286" style="1" customWidth="1"/>
    <col min="7428" max="7428" width="25.4285714285714" style="1" customWidth="1"/>
    <col min="7429" max="7429" width="25.2857142857143" style="1" customWidth="1"/>
    <col min="7430" max="7430" width="22.1428571428571" style="1" customWidth="1"/>
    <col min="7431" max="7432" width="9.14285714285714" style="1"/>
    <col min="7433" max="7433" width="43.2857142857143" style="1" customWidth="1"/>
    <col min="7434" max="7434" width="21.1428571428571" style="1" customWidth="1"/>
    <col min="7435" max="7680" width="9.14285714285714" style="1"/>
    <col min="7681" max="7681" width="8.28571428571429" style="1" customWidth="1"/>
    <col min="7682" max="7682" width="47.4285714285714" style="1" customWidth="1"/>
    <col min="7683" max="7683" width="17.5714285714286" style="1" customWidth="1"/>
    <col min="7684" max="7684" width="25.4285714285714" style="1" customWidth="1"/>
    <col min="7685" max="7685" width="25.2857142857143" style="1" customWidth="1"/>
    <col min="7686" max="7686" width="22.1428571428571" style="1" customWidth="1"/>
    <col min="7687" max="7688" width="9.14285714285714" style="1"/>
    <col min="7689" max="7689" width="43.2857142857143" style="1" customWidth="1"/>
    <col min="7690" max="7690" width="21.1428571428571" style="1" customWidth="1"/>
    <col min="7691" max="7936" width="9.14285714285714" style="1"/>
    <col min="7937" max="7937" width="8.28571428571429" style="1" customWidth="1"/>
    <col min="7938" max="7938" width="47.4285714285714" style="1" customWidth="1"/>
    <col min="7939" max="7939" width="17.5714285714286" style="1" customWidth="1"/>
    <col min="7940" max="7940" width="25.4285714285714" style="1" customWidth="1"/>
    <col min="7941" max="7941" width="25.2857142857143" style="1" customWidth="1"/>
    <col min="7942" max="7942" width="22.1428571428571" style="1" customWidth="1"/>
    <col min="7943" max="7944" width="9.14285714285714" style="1"/>
    <col min="7945" max="7945" width="43.2857142857143" style="1" customWidth="1"/>
    <col min="7946" max="7946" width="21.1428571428571" style="1" customWidth="1"/>
    <col min="7947" max="8192" width="9.14285714285714" style="1"/>
    <col min="8193" max="8193" width="8.28571428571429" style="1" customWidth="1"/>
    <col min="8194" max="8194" width="47.4285714285714" style="1" customWidth="1"/>
    <col min="8195" max="8195" width="17.5714285714286" style="1" customWidth="1"/>
    <col min="8196" max="8196" width="25.4285714285714" style="1" customWidth="1"/>
    <col min="8197" max="8197" width="25.2857142857143" style="1" customWidth="1"/>
    <col min="8198" max="8198" width="22.1428571428571" style="1" customWidth="1"/>
    <col min="8199" max="8200" width="9.14285714285714" style="1"/>
    <col min="8201" max="8201" width="43.2857142857143" style="1" customWidth="1"/>
    <col min="8202" max="8202" width="21.1428571428571" style="1" customWidth="1"/>
    <col min="8203" max="8448" width="9.14285714285714" style="1"/>
    <col min="8449" max="8449" width="8.28571428571429" style="1" customWidth="1"/>
    <col min="8450" max="8450" width="47.4285714285714" style="1" customWidth="1"/>
    <col min="8451" max="8451" width="17.5714285714286" style="1" customWidth="1"/>
    <col min="8452" max="8452" width="25.4285714285714" style="1" customWidth="1"/>
    <col min="8453" max="8453" width="25.2857142857143" style="1" customWidth="1"/>
    <col min="8454" max="8454" width="22.1428571428571" style="1" customWidth="1"/>
    <col min="8455" max="8456" width="9.14285714285714" style="1"/>
    <col min="8457" max="8457" width="43.2857142857143" style="1" customWidth="1"/>
    <col min="8458" max="8458" width="21.1428571428571" style="1" customWidth="1"/>
    <col min="8459" max="8704" width="9.14285714285714" style="1"/>
    <col min="8705" max="8705" width="8.28571428571429" style="1" customWidth="1"/>
    <col min="8706" max="8706" width="47.4285714285714" style="1" customWidth="1"/>
    <col min="8707" max="8707" width="17.5714285714286" style="1" customWidth="1"/>
    <col min="8708" max="8708" width="25.4285714285714" style="1" customWidth="1"/>
    <col min="8709" max="8709" width="25.2857142857143" style="1" customWidth="1"/>
    <col min="8710" max="8710" width="22.1428571428571" style="1" customWidth="1"/>
    <col min="8711" max="8712" width="9.14285714285714" style="1"/>
    <col min="8713" max="8713" width="43.2857142857143" style="1" customWidth="1"/>
    <col min="8714" max="8714" width="21.1428571428571" style="1" customWidth="1"/>
    <col min="8715" max="8960" width="9.14285714285714" style="1"/>
    <col min="8961" max="8961" width="8.28571428571429" style="1" customWidth="1"/>
    <col min="8962" max="8962" width="47.4285714285714" style="1" customWidth="1"/>
    <col min="8963" max="8963" width="17.5714285714286" style="1" customWidth="1"/>
    <col min="8964" max="8964" width="25.4285714285714" style="1" customWidth="1"/>
    <col min="8965" max="8965" width="25.2857142857143" style="1" customWidth="1"/>
    <col min="8966" max="8966" width="22.1428571428571" style="1" customWidth="1"/>
    <col min="8967" max="8968" width="9.14285714285714" style="1"/>
    <col min="8969" max="8969" width="43.2857142857143" style="1" customWidth="1"/>
    <col min="8970" max="8970" width="21.1428571428571" style="1" customWidth="1"/>
    <col min="8971" max="9216" width="9.14285714285714" style="1"/>
    <col min="9217" max="9217" width="8.28571428571429" style="1" customWidth="1"/>
    <col min="9218" max="9218" width="47.4285714285714" style="1" customWidth="1"/>
    <col min="9219" max="9219" width="17.5714285714286" style="1" customWidth="1"/>
    <col min="9220" max="9220" width="25.4285714285714" style="1" customWidth="1"/>
    <col min="9221" max="9221" width="25.2857142857143" style="1" customWidth="1"/>
    <col min="9222" max="9222" width="22.1428571428571" style="1" customWidth="1"/>
    <col min="9223" max="9224" width="9.14285714285714" style="1"/>
    <col min="9225" max="9225" width="43.2857142857143" style="1" customWidth="1"/>
    <col min="9226" max="9226" width="21.1428571428571" style="1" customWidth="1"/>
    <col min="9227" max="9472" width="9.14285714285714" style="1"/>
    <col min="9473" max="9473" width="8.28571428571429" style="1" customWidth="1"/>
    <col min="9474" max="9474" width="47.4285714285714" style="1" customWidth="1"/>
    <col min="9475" max="9475" width="17.5714285714286" style="1" customWidth="1"/>
    <col min="9476" max="9476" width="25.4285714285714" style="1" customWidth="1"/>
    <col min="9477" max="9477" width="25.2857142857143" style="1" customWidth="1"/>
    <col min="9478" max="9478" width="22.1428571428571" style="1" customWidth="1"/>
    <col min="9479" max="9480" width="9.14285714285714" style="1"/>
    <col min="9481" max="9481" width="43.2857142857143" style="1" customWidth="1"/>
    <col min="9482" max="9482" width="21.1428571428571" style="1" customWidth="1"/>
    <col min="9483" max="9728" width="9.14285714285714" style="1"/>
    <col min="9729" max="9729" width="8.28571428571429" style="1" customWidth="1"/>
    <col min="9730" max="9730" width="47.4285714285714" style="1" customWidth="1"/>
    <col min="9731" max="9731" width="17.5714285714286" style="1" customWidth="1"/>
    <col min="9732" max="9732" width="25.4285714285714" style="1" customWidth="1"/>
    <col min="9733" max="9733" width="25.2857142857143" style="1" customWidth="1"/>
    <col min="9734" max="9734" width="22.1428571428571" style="1" customWidth="1"/>
    <col min="9735" max="9736" width="9.14285714285714" style="1"/>
    <col min="9737" max="9737" width="43.2857142857143" style="1" customWidth="1"/>
    <col min="9738" max="9738" width="21.1428571428571" style="1" customWidth="1"/>
    <col min="9739" max="9984" width="9.14285714285714" style="1"/>
    <col min="9985" max="9985" width="8.28571428571429" style="1" customWidth="1"/>
    <col min="9986" max="9986" width="47.4285714285714" style="1" customWidth="1"/>
    <col min="9987" max="9987" width="17.5714285714286" style="1" customWidth="1"/>
    <col min="9988" max="9988" width="25.4285714285714" style="1" customWidth="1"/>
    <col min="9989" max="9989" width="25.2857142857143" style="1" customWidth="1"/>
    <col min="9990" max="9990" width="22.1428571428571" style="1" customWidth="1"/>
    <col min="9991" max="9992" width="9.14285714285714" style="1"/>
    <col min="9993" max="9993" width="43.2857142857143" style="1" customWidth="1"/>
    <col min="9994" max="9994" width="21.1428571428571" style="1" customWidth="1"/>
    <col min="9995" max="10240" width="9.14285714285714" style="1"/>
    <col min="10241" max="10241" width="8.28571428571429" style="1" customWidth="1"/>
    <col min="10242" max="10242" width="47.4285714285714" style="1" customWidth="1"/>
    <col min="10243" max="10243" width="17.5714285714286" style="1" customWidth="1"/>
    <col min="10244" max="10244" width="25.4285714285714" style="1" customWidth="1"/>
    <col min="10245" max="10245" width="25.2857142857143" style="1" customWidth="1"/>
    <col min="10246" max="10246" width="22.1428571428571" style="1" customWidth="1"/>
    <col min="10247" max="10248" width="9.14285714285714" style="1"/>
    <col min="10249" max="10249" width="43.2857142857143" style="1" customWidth="1"/>
    <col min="10250" max="10250" width="21.1428571428571" style="1" customWidth="1"/>
    <col min="10251" max="10496" width="9.14285714285714" style="1"/>
    <col min="10497" max="10497" width="8.28571428571429" style="1" customWidth="1"/>
    <col min="10498" max="10498" width="47.4285714285714" style="1" customWidth="1"/>
    <col min="10499" max="10499" width="17.5714285714286" style="1" customWidth="1"/>
    <col min="10500" max="10500" width="25.4285714285714" style="1" customWidth="1"/>
    <col min="10501" max="10501" width="25.2857142857143" style="1" customWidth="1"/>
    <col min="10502" max="10502" width="22.1428571428571" style="1" customWidth="1"/>
    <col min="10503" max="10504" width="9.14285714285714" style="1"/>
    <col min="10505" max="10505" width="43.2857142857143" style="1" customWidth="1"/>
    <col min="10506" max="10506" width="21.1428571428571" style="1" customWidth="1"/>
    <col min="10507" max="10752" width="9.14285714285714" style="1"/>
    <col min="10753" max="10753" width="8.28571428571429" style="1" customWidth="1"/>
    <col min="10754" max="10754" width="47.4285714285714" style="1" customWidth="1"/>
    <col min="10755" max="10755" width="17.5714285714286" style="1" customWidth="1"/>
    <col min="10756" max="10756" width="25.4285714285714" style="1" customWidth="1"/>
    <col min="10757" max="10757" width="25.2857142857143" style="1" customWidth="1"/>
    <col min="10758" max="10758" width="22.1428571428571" style="1" customWidth="1"/>
    <col min="10759" max="10760" width="9.14285714285714" style="1"/>
    <col min="10761" max="10761" width="43.2857142857143" style="1" customWidth="1"/>
    <col min="10762" max="10762" width="21.1428571428571" style="1" customWidth="1"/>
    <col min="10763" max="11008" width="9.14285714285714" style="1"/>
    <col min="11009" max="11009" width="8.28571428571429" style="1" customWidth="1"/>
    <col min="11010" max="11010" width="47.4285714285714" style="1" customWidth="1"/>
    <col min="11011" max="11011" width="17.5714285714286" style="1" customWidth="1"/>
    <col min="11012" max="11012" width="25.4285714285714" style="1" customWidth="1"/>
    <col min="11013" max="11013" width="25.2857142857143" style="1" customWidth="1"/>
    <col min="11014" max="11014" width="22.1428571428571" style="1" customWidth="1"/>
    <col min="11015" max="11016" width="9.14285714285714" style="1"/>
    <col min="11017" max="11017" width="43.2857142857143" style="1" customWidth="1"/>
    <col min="11018" max="11018" width="21.1428571428571" style="1" customWidth="1"/>
    <col min="11019" max="11264" width="9.14285714285714" style="1"/>
    <col min="11265" max="11265" width="8.28571428571429" style="1" customWidth="1"/>
    <col min="11266" max="11266" width="47.4285714285714" style="1" customWidth="1"/>
    <col min="11267" max="11267" width="17.5714285714286" style="1" customWidth="1"/>
    <col min="11268" max="11268" width="25.4285714285714" style="1" customWidth="1"/>
    <col min="11269" max="11269" width="25.2857142857143" style="1" customWidth="1"/>
    <col min="11270" max="11270" width="22.1428571428571" style="1" customWidth="1"/>
    <col min="11271" max="11272" width="9.14285714285714" style="1"/>
    <col min="11273" max="11273" width="43.2857142857143" style="1" customWidth="1"/>
    <col min="11274" max="11274" width="21.1428571428571" style="1" customWidth="1"/>
    <col min="11275" max="11520" width="9.14285714285714" style="1"/>
    <col min="11521" max="11521" width="8.28571428571429" style="1" customWidth="1"/>
    <col min="11522" max="11522" width="47.4285714285714" style="1" customWidth="1"/>
    <col min="11523" max="11523" width="17.5714285714286" style="1" customWidth="1"/>
    <col min="11524" max="11524" width="25.4285714285714" style="1" customWidth="1"/>
    <col min="11525" max="11525" width="25.2857142857143" style="1" customWidth="1"/>
    <col min="11526" max="11526" width="22.1428571428571" style="1" customWidth="1"/>
    <col min="11527" max="11528" width="9.14285714285714" style="1"/>
    <col min="11529" max="11529" width="43.2857142857143" style="1" customWidth="1"/>
    <col min="11530" max="11530" width="21.1428571428571" style="1" customWidth="1"/>
    <col min="11531" max="11776" width="9.14285714285714" style="1"/>
    <col min="11777" max="11777" width="8.28571428571429" style="1" customWidth="1"/>
    <col min="11778" max="11778" width="47.4285714285714" style="1" customWidth="1"/>
    <col min="11779" max="11779" width="17.5714285714286" style="1" customWidth="1"/>
    <col min="11780" max="11780" width="25.4285714285714" style="1" customWidth="1"/>
    <col min="11781" max="11781" width="25.2857142857143" style="1" customWidth="1"/>
    <col min="11782" max="11782" width="22.1428571428571" style="1" customWidth="1"/>
    <col min="11783" max="11784" width="9.14285714285714" style="1"/>
    <col min="11785" max="11785" width="43.2857142857143" style="1" customWidth="1"/>
    <col min="11786" max="11786" width="21.1428571428571" style="1" customWidth="1"/>
    <col min="11787" max="12032" width="9.14285714285714" style="1"/>
    <col min="12033" max="12033" width="8.28571428571429" style="1" customWidth="1"/>
    <col min="12034" max="12034" width="47.4285714285714" style="1" customWidth="1"/>
    <col min="12035" max="12035" width="17.5714285714286" style="1" customWidth="1"/>
    <col min="12036" max="12036" width="25.4285714285714" style="1" customWidth="1"/>
    <col min="12037" max="12037" width="25.2857142857143" style="1" customWidth="1"/>
    <col min="12038" max="12038" width="22.1428571428571" style="1" customWidth="1"/>
    <col min="12039" max="12040" width="9.14285714285714" style="1"/>
    <col min="12041" max="12041" width="43.2857142857143" style="1" customWidth="1"/>
    <col min="12042" max="12042" width="21.1428571428571" style="1" customWidth="1"/>
    <col min="12043" max="12288" width="9.14285714285714" style="1"/>
    <col min="12289" max="12289" width="8.28571428571429" style="1" customWidth="1"/>
    <col min="12290" max="12290" width="47.4285714285714" style="1" customWidth="1"/>
    <col min="12291" max="12291" width="17.5714285714286" style="1" customWidth="1"/>
    <col min="12292" max="12292" width="25.4285714285714" style="1" customWidth="1"/>
    <col min="12293" max="12293" width="25.2857142857143" style="1" customWidth="1"/>
    <col min="12294" max="12294" width="22.1428571428571" style="1" customWidth="1"/>
    <col min="12295" max="12296" width="9.14285714285714" style="1"/>
    <col min="12297" max="12297" width="43.2857142857143" style="1" customWidth="1"/>
    <col min="12298" max="12298" width="21.1428571428571" style="1" customWidth="1"/>
    <col min="12299" max="12544" width="9.14285714285714" style="1"/>
    <col min="12545" max="12545" width="8.28571428571429" style="1" customWidth="1"/>
    <col min="12546" max="12546" width="47.4285714285714" style="1" customWidth="1"/>
    <col min="12547" max="12547" width="17.5714285714286" style="1" customWidth="1"/>
    <col min="12548" max="12548" width="25.4285714285714" style="1" customWidth="1"/>
    <col min="12549" max="12549" width="25.2857142857143" style="1" customWidth="1"/>
    <col min="12550" max="12550" width="22.1428571428571" style="1" customWidth="1"/>
    <col min="12551" max="12552" width="9.14285714285714" style="1"/>
    <col min="12553" max="12553" width="43.2857142857143" style="1" customWidth="1"/>
    <col min="12554" max="12554" width="21.1428571428571" style="1" customWidth="1"/>
    <col min="12555" max="12800" width="9.14285714285714" style="1"/>
    <col min="12801" max="12801" width="8.28571428571429" style="1" customWidth="1"/>
    <col min="12802" max="12802" width="47.4285714285714" style="1" customWidth="1"/>
    <col min="12803" max="12803" width="17.5714285714286" style="1" customWidth="1"/>
    <col min="12804" max="12804" width="25.4285714285714" style="1" customWidth="1"/>
    <col min="12805" max="12805" width="25.2857142857143" style="1" customWidth="1"/>
    <col min="12806" max="12806" width="22.1428571428571" style="1" customWidth="1"/>
    <col min="12807" max="12808" width="9.14285714285714" style="1"/>
    <col min="12809" max="12809" width="43.2857142857143" style="1" customWidth="1"/>
    <col min="12810" max="12810" width="21.1428571428571" style="1" customWidth="1"/>
    <col min="12811" max="13056" width="9.14285714285714" style="1"/>
    <col min="13057" max="13057" width="8.28571428571429" style="1" customWidth="1"/>
    <col min="13058" max="13058" width="47.4285714285714" style="1" customWidth="1"/>
    <col min="13059" max="13059" width="17.5714285714286" style="1" customWidth="1"/>
    <col min="13060" max="13060" width="25.4285714285714" style="1" customWidth="1"/>
    <col min="13061" max="13061" width="25.2857142857143" style="1" customWidth="1"/>
    <col min="13062" max="13062" width="22.1428571428571" style="1" customWidth="1"/>
    <col min="13063" max="13064" width="9.14285714285714" style="1"/>
    <col min="13065" max="13065" width="43.2857142857143" style="1" customWidth="1"/>
    <col min="13066" max="13066" width="21.1428571428571" style="1" customWidth="1"/>
    <col min="13067" max="13312" width="9.14285714285714" style="1"/>
    <col min="13313" max="13313" width="8.28571428571429" style="1" customWidth="1"/>
    <col min="13314" max="13314" width="47.4285714285714" style="1" customWidth="1"/>
    <col min="13315" max="13315" width="17.5714285714286" style="1" customWidth="1"/>
    <col min="13316" max="13316" width="25.4285714285714" style="1" customWidth="1"/>
    <col min="13317" max="13317" width="25.2857142857143" style="1" customWidth="1"/>
    <col min="13318" max="13318" width="22.1428571428571" style="1" customWidth="1"/>
    <col min="13319" max="13320" width="9.14285714285714" style="1"/>
    <col min="13321" max="13321" width="43.2857142857143" style="1" customWidth="1"/>
    <col min="13322" max="13322" width="21.1428571428571" style="1" customWidth="1"/>
    <col min="13323" max="13568" width="9.14285714285714" style="1"/>
    <col min="13569" max="13569" width="8.28571428571429" style="1" customWidth="1"/>
    <col min="13570" max="13570" width="47.4285714285714" style="1" customWidth="1"/>
    <col min="13571" max="13571" width="17.5714285714286" style="1" customWidth="1"/>
    <col min="13572" max="13572" width="25.4285714285714" style="1" customWidth="1"/>
    <col min="13573" max="13573" width="25.2857142857143" style="1" customWidth="1"/>
    <col min="13574" max="13574" width="22.1428571428571" style="1" customWidth="1"/>
    <col min="13575" max="13576" width="9.14285714285714" style="1"/>
    <col min="13577" max="13577" width="43.2857142857143" style="1" customWidth="1"/>
    <col min="13578" max="13578" width="21.1428571428571" style="1" customWidth="1"/>
    <col min="13579" max="13824" width="9.14285714285714" style="1"/>
    <col min="13825" max="13825" width="8.28571428571429" style="1" customWidth="1"/>
    <col min="13826" max="13826" width="47.4285714285714" style="1" customWidth="1"/>
    <col min="13827" max="13827" width="17.5714285714286" style="1" customWidth="1"/>
    <col min="13828" max="13828" width="25.4285714285714" style="1" customWidth="1"/>
    <col min="13829" max="13829" width="25.2857142857143" style="1" customWidth="1"/>
    <col min="13830" max="13830" width="22.1428571428571" style="1" customWidth="1"/>
    <col min="13831" max="13832" width="9.14285714285714" style="1"/>
    <col min="13833" max="13833" width="43.2857142857143" style="1" customWidth="1"/>
    <col min="13834" max="13834" width="21.1428571428571" style="1" customWidth="1"/>
    <col min="13835" max="14080" width="9.14285714285714" style="1"/>
    <col min="14081" max="14081" width="8.28571428571429" style="1" customWidth="1"/>
    <col min="14082" max="14082" width="47.4285714285714" style="1" customWidth="1"/>
    <col min="14083" max="14083" width="17.5714285714286" style="1" customWidth="1"/>
    <col min="14084" max="14084" width="25.4285714285714" style="1" customWidth="1"/>
    <col min="14085" max="14085" width="25.2857142857143" style="1" customWidth="1"/>
    <col min="14086" max="14086" width="22.1428571428571" style="1" customWidth="1"/>
    <col min="14087" max="14088" width="9.14285714285714" style="1"/>
    <col min="14089" max="14089" width="43.2857142857143" style="1" customWidth="1"/>
    <col min="14090" max="14090" width="21.1428571428571" style="1" customWidth="1"/>
    <col min="14091" max="14336" width="9.14285714285714" style="1"/>
    <col min="14337" max="14337" width="8.28571428571429" style="1" customWidth="1"/>
    <col min="14338" max="14338" width="47.4285714285714" style="1" customWidth="1"/>
    <col min="14339" max="14339" width="17.5714285714286" style="1" customWidth="1"/>
    <col min="14340" max="14340" width="25.4285714285714" style="1" customWidth="1"/>
    <col min="14341" max="14341" width="25.2857142857143" style="1" customWidth="1"/>
    <col min="14342" max="14342" width="22.1428571428571" style="1" customWidth="1"/>
    <col min="14343" max="14344" width="9.14285714285714" style="1"/>
    <col min="14345" max="14345" width="43.2857142857143" style="1" customWidth="1"/>
    <col min="14346" max="14346" width="21.1428571428571" style="1" customWidth="1"/>
    <col min="14347" max="14592" width="9.14285714285714" style="1"/>
    <col min="14593" max="14593" width="8.28571428571429" style="1" customWidth="1"/>
    <col min="14594" max="14594" width="47.4285714285714" style="1" customWidth="1"/>
    <col min="14595" max="14595" width="17.5714285714286" style="1" customWidth="1"/>
    <col min="14596" max="14596" width="25.4285714285714" style="1" customWidth="1"/>
    <col min="14597" max="14597" width="25.2857142857143" style="1" customWidth="1"/>
    <col min="14598" max="14598" width="22.1428571428571" style="1" customWidth="1"/>
    <col min="14599" max="14600" width="9.14285714285714" style="1"/>
    <col min="14601" max="14601" width="43.2857142857143" style="1" customWidth="1"/>
    <col min="14602" max="14602" width="21.1428571428571" style="1" customWidth="1"/>
    <col min="14603" max="14848" width="9.14285714285714" style="1"/>
    <col min="14849" max="14849" width="8.28571428571429" style="1" customWidth="1"/>
    <col min="14850" max="14850" width="47.4285714285714" style="1" customWidth="1"/>
    <col min="14851" max="14851" width="17.5714285714286" style="1" customWidth="1"/>
    <col min="14852" max="14852" width="25.4285714285714" style="1" customWidth="1"/>
    <col min="14853" max="14853" width="25.2857142857143" style="1" customWidth="1"/>
    <col min="14854" max="14854" width="22.1428571428571" style="1" customWidth="1"/>
    <col min="14855" max="14856" width="9.14285714285714" style="1"/>
    <col min="14857" max="14857" width="43.2857142857143" style="1" customWidth="1"/>
    <col min="14858" max="14858" width="21.1428571428571" style="1" customWidth="1"/>
    <col min="14859" max="15104" width="9.14285714285714" style="1"/>
    <col min="15105" max="15105" width="8.28571428571429" style="1" customWidth="1"/>
    <col min="15106" max="15106" width="47.4285714285714" style="1" customWidth="1"/>
    <col min="15107" max="15107" width="17.5714285714286" style="1" customWidth="1"/>
    <col min="15108" max="15108" width="25.4285714285714" style="1" customWidth="1"/>
    <col min="15109" max="15109" width="25.2857142857143" style="1" customWidth="1"/>
    <col min="15110" max="15110" width="22.1428571428571" style="1" customWidth="1"/>
    <col min="15111" max="15112" width="9.14285714285714" style="1"/>
    <col min="15113" max="15113" width="43.2857142857143" style="1" customWidth="1"/>
    <col min="15114" max="15114" width="21.1428571428571" style="1" customWidth="1"/>
    <col min="15115" max="15360" width="9.14285714285714" style="1"/>
    <col min="15361" max="15361" width="8.28571428571429" style="1" customWidth="1"/>
    <col min="15362" max="15362" width="47.4285714285714" style="1" customWidth="1"/>
    <col min="15363" max="15363" width="17.5714285714286" style="1" customWidth="1"/>
    <col min="15364" max="15364" width="25.4285714285714" style="1" customWidth="1"/>
    <col min="15365" max="15365" width="25.2857142857143" style="1" customWidth="1"/>
    <col min="15366" max="15366" width="22.1428571428571" style="1" customWidth="1"/>
    <col min="15367" max="15368" width="9.14285714285714" style="1"/>
    <col min="15369" max="15369" width="43.2857142857143" style="1" customWidth="1"/>
    <col min="15370" max="15370" width="21.1428571428571" style="1" customWidth="1"/>
    <col min="15371" max="15616" width="9.14285714285714" style="1"/>
    <col min="15617" max="15617" width="8.28571428571429" style="1" customWidth="1"/>
    <col min="15618" max="15618" width="47.4285714285714" style="1" customWidth="1"/>
    <col min="15619" max="15619" width="17.5714285714286" style="1" customWidth="1"/>
    <col min="15620" max="15620" width="25.4285714285714" style="1" customWidth="1"/>
    <col min="15621" max="15621" width="25.2857142857143" style="1" customWidth="1"/>
    <col min="15622" max="15622" width="22.1428571428571" style="1" customWidth="1"/>
    <col min="15623" max="15624" width="9.14285714285714" style="1"/>
    <col min="15625" max="15625" width="43.2857142857143" style="1" customWidth="1"/>
    <col min="15626" max="15626" width="21.1428571428571" style="1" customWidth="1"/>
    <col min="15627" max="15872" width="9.14285714285714" style="1"/>
    <col min="15873" max="15873" width="8.28571428571429" style="1" customWidth="1"/>
    <col min="15874" max="15874" width="47.4285714285714" style="1" customWidth="1"/>
    <col min="15875" max="15875" width="17.5714285714286" style="1" customWidth="1"/>
    <col min="15876" max="15876" width="25.4285714285714" style="1" customWidth="1"/>
    <col min="15877" max="15877" width="25.2857142857143" style="1" customWidth="1"/>
    <col min="15878" max="15878" width="22.1428571428571" style="1" customWidth="1"/>
    <col min="15879" max="15880" width="9.14285714285714" style="1"/>
    <col min="15881" max="15881" width="43.2857142857143" style="1" customWidth="1"/>
    <col min="15882" max="15882" width="21.1428571428571" style="1" customWidth="1"/>
    <col min="15883" max="16128" width="9.14285714285714" style="1"/>
    <col min="16129" max="16129" width="8.28571428571429" style="1" customWidth="1"/>
    <col min="16130" max="16130" width="47.4285714285714" style="1" customWidth="1"/>
    <col min="16131" max="16131" width="17.5714285714286" style="1" customWidth="1"/>
    <col min="16132" max="16132" width="25.4285714285714" style="1" customWidth="1"/>
    <col min="16133" max="16133" width="25.2857142857143" style="1" customWidth="1"/>
    <col min="16134" max="16134" width="22.1428571428571" style="1" customWidth="1"/>
    <col min="16135" max="16136" width="9.14285714285714" style="1"/>
    <col min="16137" max="16137" width="43.2857142857143" style="1" customWidth="1"/>
    <col min="16138" max="16138" width="21.1428571428571" style="1" customWidth="1"/>
    <col min="16139" max="16384" width="9.14285714285714" style="1"/>
  </cols>
  <sheetData>
    <row r="1" s="1" customFormat="1" ht="15.75" spans="1:6">
      <c r="A1" s="2" t="s">
        <v>0</v>
      </c>
      <c r="B1" s="2"/>
      <c r="C1" s="2"/>
      <c r="D1" s="2"/>
      <c r="E1" s="2"/>
      <c r="F1" s="2"/>
    </row>
    <row r="2" s="1" customFormat="1" ht="15.75" spans="1:6">
      <c r="A2" s="2" t="s">
        <v>1</v>
      </c>
      <c r="B2" s="2"/>
      <c r="C2" s="2"/>
      <c r="D2" s="2"/>
      <c r="E2" s="2"/>
      <c r="F2" s="2"/>
    </row>
    <row r="3" s="1" customFormat="1" ht="15.75" spans="1:6">
      <c r="A3" s="3" t="s">
        <v>2</v>
      </c>
      <c r="B3" s="3"/>
      <c r="C3" s="3"/>
      <c r="D3" s="3"/>
      <c r="E3" s="3"/>
      <c r="F3" s="3"/>
    </row>
    <row r="5" s="1" customFormat="1" ht="15.75" spans="1:6">
      <c r="A5" s="4"/>
      <c r="B5" s="5" t="s">
        <v>3</v>
      </c>
      <c r="C5" s="6" t="s">
        <v>4</v>
      </c>
      <c r="D5" s="7"/>
      <c r="E5" s="8" t="s">
        <v>5</v>
      </c>
      <c r="F5" s="8" t="s">
        <v>6</v>
      </c>
    </row>
    <row r="6" s="1" customFormat="1" ht="15.75" spans="1:10">
      <c r="A6" s="9"/>
      <c r="B6" s="43" t="s">
        <v>7</v>
      </c>
      <c r="C6" s="11">
        <v>39914156</v>
      </c>
      <c r="D6" s="12">
        <v>5124435641</v>
      </c>
      <c r="E6" s="13">
        <v>377317700</v>
      </c>
      <c r="F6" s="12">
        <f t="shared" ref="F6:F12" si="0">SUM(C6:E6)</f>
        <v>5541667497</v>
      </c>
      <c r="G6" s="14"/>
      <c r="H6" s="2"/>
      <c r="I6" s="35"/>
      <c r="J6" s="36"/>
    </row>
    <row r="7" s="1" customFormat="1" ht="15.75" spans="1:10">
      <c r="A7" s="15" t="s">
        <v>8</v>
      </c>
      <c r="B7" s="8" t="s">
        <v>9</v>
      </c>
      <c r="C7" s="16">
        <f>SUM(C6:C6)</f>
        <v>39914156</v>
      </c>
      <c r="D7" s="16">
        <f>SUM(D6:D6)</f>
        <v>5124435641</v>
      </c>
      <c r="E7" s="16">
        <f>SUM(E6:E6)</f>
        <v>377317700</v>
      </c>
      <c r="F7" s="17">
        <f>SUM(F6)</f>
        <v>5541667497</v>
      </c>
      <c r="H7" s="2"/>
      <c r="J7" s="29"/>
    </row>
    <row r="8" s="1" customFormat="1" ht="15.75" spans="1:10">
      <c r="A8" s="9"/>
      <c r="B8" s="4"/>
      <c r="C8" s="4"/>
      <c r="D8" s="12"/>
      <c r="E8" s="4"/>
      <c r="F8" s="4"/>
      <c r="H8" s="2"/>
      <c r="I8" s="37"/>
      <c r="J8" s="29"/>
    </row>
    <row r="9" s="1" customFormat="1" ht="15.75" spans="1:10">
      <c r="A9" s="4"/>
      <c r="B9" s="10"/>
      <c r="C9" s="44" t="s">
        <v>10</v>
      </c>
      <c r="D9" s="18" t="s">
        <v>11</v>
      </c>
      <c r="E9" s="15" t="s">
        <v>5</v>
      </c>
      <c r="F9" s="15" t="s">
        <v>6</v>
      </c>
      <c r="H9" s="2"/>
      <c r="I9" s="38"/>
      <c r="J9" s="36"/>
    </row>
    <row r="10" s="1" customFormat="1" ht="15.75" spans="1:10">
      <c r="A10" s="9"/>
      <c r="B10" s="43" t="s">
        <v>12</v>
      </c>
      <c r="C10" s="13"/>
      <c r="D10" s="19">
        <v>475402636</v>
      </c>
      <c r="E10" s="4">
        <v>0</v>
      </c>
      <c r="F10" s="20">
        <f t="shared" si="0"/>
        <v>475402636</v>
      </c>
      <c r="H10" s="2"/>
      <c r="I10" s="38"/>
      <c r="J10" s="29"/>
    </row>
    <row r="11" s="1" customFormat="1" ht="15.75" spans="1:10">
      <c r="A11" s="9"/>
      <c r="B11" s="4" t="s">
        <v>13</v>
      </c>
      <c r="C11" s="13"/>
      <c r="D11" s="19">
        <v>1880852008</v>
      </c>
      <c r="E11" s="19">
        <v>833331338</v>
      </c>
      <c r="F11" s="20">
        <f t="shared" si="0"/>
        <v>2714183346</v>
      </c>
      <c r="H11" s="2"/>
      <c r="I11" s="39"/>
      <c r="J11" s="29"/>
    </row>
    <row r="12" s="1" customFormat="1" ht="15.75" spans="1:10">
      <c r="A12" s="9"/>
      <c r="B12" s="4" t="s">
        <v>14</v>
      </c>
      <c r="C12" s="13"/>
      <c r="D12" s="21">
        <v>1506345025</v>
      </c>
      <c r="E12" s="4">
        <v>0</v>
      </c>
      <c r="F12" s="20">
        <f t="shared" si="0"/>
        <v>1506345025</v>
      </c>
      <c r="H12" s="2"/>
      <c r="I12" s="35"/>
      <c r="J12" s="36"/>
    </row>
    <row r="13" s="1" customFormat="1" ht="15.75" spans="1:10">
      <c r="A13" s="15" t="s">
        <v>8</v>
      </c>
      <c r="B13" s="8" t="s">
        <v>15</v>
      </c>
      <c r="C13" s="17">
        <f t="shared" ref="C13:F13" si="1">SUM(C10:C12)</f>
        <v>0</v>
      </c>
      <c r="D13" s="17">
        <f t="shared" si="1"/>
        <v>3862599669</v>
      </c>
      <c r="E13" s="17">
        <f t="shared" si="1"/>
        <v>833331338</v>
      </c>
      <c r="F13" s="17">
        <f t="shared" si="1"/>
        <v>4695931007</v>
      </c>
      <c r="H13" s="2"/>
      <c r="J13" s="29"/>
    </row>
    <row r="14" s="1" customFormat="1" ht="15.75" spans="1:10">
      <c r="A14" s="9"/>
      <c r="B14" s="22"/>
      <c r="C14" s="22"/>
      <c r="D14" s="12"/>
      <c r="E14" s="4"/>
      <c r="F14" s="20">
        <f>SUM(D14:E14)</f>
        <v>0</v>
      </c>
      <c r="H14" s="2"/>
      <c r="I14" s="37"/>
      <c r="J14" s="29"/>
    </row>
    <row r="15" s="1" customFormat="1" ht="18" spans="1:10">
      <c r="A15" s="9"/>
      <c r="B15" s="43" t="s">
        <v>16</v>
      </c>
      <c r="C15" s="23"/>
      <c r="D15" s="21">
        <v>581093729</v>
      </c>
      <c r="E15" s="4"/>
      <c r="F15" s="20">
        <f t="shared" ref="F15:F17" si="2">SUM(C15:E15)</f>
        <v>581093729</v>
      </c>
      <c r="H15" s="24"/>
      <c r="I15" s="35"/>
      <c r="J15" s="40"/>
    </row>
    <row r="16" s="1" customFormat="1" spans="1:6">
      <c r="A16" s="9"/>
      <c r="B16" s="4" t="s">
        <v>17</v>
      </c>
      <c r="C16" s="13"/>
      <c r="D16" s="21">
        <v>1861144711</v>
      </c>
      <c r="E16" s="25">
        <v>919150421</v>
      </c>
      <c r="F16" s="20">
        <f t="shared" si="2"/>
        <v>2780295132</v>
      </c>
    </row>
    <row r="17" s="1" customFormat="1" ht="15.75" spans="1:10">
      <c r="A17" s="9"/>
      <c r="B17" s="4" t="s">
        <v>18</v>
      </c>
      <c r="C17" s="11"/>
      <c r="D17" s="19">
        <v>2416758690</v>
      </c>
      <c r="E17" s="4"/>
      <c r="F17" s="20">
        <f t="shared" si="2"/>
        <v>2416758690</v>
      </c>
      <c r="H17" s="2"/>
      <c r="I17" s="37"/>
      <c r="J17" s="29"/>
    </row>
    <row r="18" s="1" customFormat="1" ht="15.75" spans="1:10">
      <c r="A18" s="15" t="s">
        <v>19</v>
      </c>
      <c r="B18" s="8" t="s">
        <v>20</v>
      </c>
      <c r="C18" s="26">
        <f t="shared" ref="C18:F18" si="3">SUM(C15:C17)</f>
        <v>0</v>
      </c>
      <c r="D18" s="17">
        <f t="shared" si="3"/>
        <v>4858997130</v>
      </c>
      <c r="E18" s="16">
        <f>SUM(E16:E17)</f>
        <v>919150421</v>
      </c>
      <c r="F18" s="27">
        <f t="shared" si="3"/>
        <v>5778147551</v>
      </c>
      <c r="H18" s="2"/>
      <c r="I18" s="37"/>
      <c r="J18" s="29"/>
    </row>
    <row r="19" s="1" customFormat="1" ht="15.75" spans="1:10">
      <c r="A19" s="9"/>
      <c r="B19" s="45" t="s">
        <v>21</v>
      </c>
      <c r="C19" s="27">
        <f t="shared" ref="C19:F19" si="4">C7+C13-C18</f>
        <v>39914156</v>
      </c>
      <c r="D19" s="27">
        <f t="shared" si="4"/>
        <v>4128038180</v>
      </c>
      <c r="E19" s="27">
        <f t="shared" si="4"/>
        <v>291498617</v>
      </c>
      <c r="F19" s="27">
        <f t="shared" si="4"/>
        <v>4459450953</v>
      </c>
      <c r="H19" s="2"/>
      <c r="I19" s="37"/>
      <c r="J19" s="29"/>
    </row>
    <row r="20" s="1" customFormat="1" ht="15.75" spans="6:10">
      <c r="F20" s="29"/>
      <c r="H20" s="2"/>
      <c r="I20" s="35"/>
      <c r="J20" s="36"/>
    </row>
    <row r="21" s="1" customFormat="1" ht="15.75" spans="2:10">
      <c r="B21" s="30">
        <v>681</v>
      </c>
      <c r="C21" s="31">
        <v>366535000</v>
      </c>
      <c r="F21" s="32"/>
      <c r="H21" s="2"/>
      <c r="I21" s="37"/>
      <c r="J21" s="36"/>
    </row>
    <row r="22" s="1" customFormat="1" ht="15.75" spans="2:10">
      <c r="B22" s="30"/>
      <c r="C22" s="33">
        <f>SUM(C21)</f>
        <v>366535000</v>
      </c>
      <c r="H22" s="2"/>
      <c r="I22" s="37"/>
      <c r="J22" s="29"/>
    </row>
    <row r="23" s="1" customFormat="1" ht="18" spans="2:10">
      <c r="B23" s="30">
        <v>683</v>
      </c>
      <c r="C23" s="31">
        <v>50031202</v>
      </c>
      <c r="D23" s="30"/>
      <c r="E23" s="31"/>
      <c r="F23" s="32">
        <f>F6-F19</f>
        <v>1082216544</v>
      </c>
      <c r="H23" s="24"/>
      <c r="I23" s="35"/>
      <c r="J23" s="41"/>
    </row>
    <row r="24" s="1" customFormat="1" ht="15.75" spans="2:10">
      <c r="B24" s="30" t="s">
        <v>22</v>
      </c>
      <c r="C24" s="31">
        <v>16352338</v>
      </c>
      <c r="D24" s="30"/>
      <c r="E24" s="33"/>
      <c r="H24" s="24"/>
      <c r="I24" s="35"/>
      <c r="J24" s="29"/>
    </row>
    <row r="25" s="1" customFormat="1" spans="2:10">
      <c r="B25" s="30">
        <v>684</v>
      </c>
      <c r="C25" s="31">
        <f>4404092421+423409198+265827157+401826230</f>
        <v>5495155006</v>
      </c>
      <c r="H25"/>
      <c r="I25"/>
      <c r="J25"/>
    </row>
    <row r="26" s="1" customFormat="1" spans="2:10">
      <c r="B26" s="30" t="s">
        <v>23</v>
      </c>
      <c r="C26" s="31">
        <v>194655959</v>
      </c>
      <c r="H26"/>
      <c r="I26"/>
      <c r="J26" s="42"/>
    </row>
    <row r="27" s="1" customFormat="1" spans="2:10">
      <c r="B27" s="30" t="s">
        <v>24</v>
      </c>
      <c r="C27" s="31">
        <v>92332120</v>
      </c>
      <c r="H27"/>
      <c r="I27"/>
      <c r="J27"/>
    </row>
    <row r="28" s="1" customFormat="1" ht="15.75" spans="2:10">
      <c r="B28" s="30"/>
      <c r="C28" s="33">
        <f>SUM(C23:C27)</f>
        <v>5848526625</v>
      </c>
      <c r="H28"/>
      <c r="I28"/>
      <c r="J28"/>
    </row>
    <row r="29" s="1" customFormat="1" ht="15.75" spans="2:3">
      <c r="B29" s="2" t="s">
        <v>25</v>
      </c>
      <c r="C29" s="34">
        <f>C22+C28</f>
        <v>6215061625</v>
      </c>
    </row>
  </sheetData>
  <mergeCells count="4">
    <mergeCell ref="A1:F1"/>
    <mergeCell ref="A2:F2"/>
    <mergeCell ref="A3:F3"/>
    <mergeCell ref="C5:D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-shoa1b</cp:lastModifiedBy>
  <dcterms:created xsi:type="dcterms:W3CDTF">2015-06-05T18:17:00Z</dcterms:created>
  <dcterms:modified xsi:type="dcterms:W3CDTF">2026-04-05T09:18:33Z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4DA6577B561040F2AF8D79288307BD62_12</vt:lpwstr>
  </property>
  <property fmtid="{D5CDD505-2E9C-101B-9397-08002B2CF9AE}" pid="3" name="KSOProductBuildVer">
    <vt:lpwstr>2057-12.2.0.23196</vt:lpwstr>
  </property>
</Properties>
</file>